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PA_GROUP_1_ASSESSMENT\IB9EO0_GROUP_1\"/>
    </mc:Choice>
  </mc:AlternateContent>
  <xr:revisionPtr revIDLastSave="0" documentId="13_ncr:1_{3DE5AD3F-2F93-42EE-B41A-B0D351E14210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BuildMax_Rentals_Dataset" sheetId="1" r:id="rId1"/>
    <sheet name="Code" sheetId="2" r:id="rId2"/>
    <sheet name="Result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4" i="1" l="1"/>
  <c r="C54" i="1"/>
  <c r="AZ55" i="1"/>
  <c r="BE55" i="1"/>
  <c r="BJ55" i="1"/>
  <c r="BG54" i="1"/>
  <c r="BF54" i="1"/>
  <c r="BB54" i="1"/>
  <c r="BA54" i="1"/>
  <c r="AW54" i="1"/>
  <c r="AV54" i="1"/>
  <c r="AR54" i="1"/>
  <c r="AQ54" i="1"/>
  <c r="AM54" i="1"/>
  <c r="AL54" i="1"/>
  <c r="AH54" i="1"/>
  <c r="AG54" i="1"/>
  <c r="AC54" i="1"/>
  <c r="AB54" i="1"/>
  <c r="X54" i="1"/>
  <c r="W54" i="1"/>
  <c r="S54" i="1"/>
  <c r="R54" i="1"/>
  <c r="N54" i="1"/>
  <c r="M54" i="1"/>
  <c r="I54" i="1"/>
  <c r="H54" i="1"/>
  <c r="Z16" i="1"/>
  <c r="Y18" i="1"/>
  <c r="BP5" i="1"/>
  <c r="V55" i="1"/>
  <c r="E2" i="1"/>
  <c r="E4" i="1"/>
  <c r="E6" i="1"/>
  <c r="E8" i="1"/>
  <c r="E13" i="1"/>
  <c r="E14" i="1"/>
  <c r="E15" i="1"/>
  <c r="E16" i="1"/>
  <c r="E18" i="1"/>
  <c r="E20" i="1"/>
  <c r="E23" i="1"/>
  <c r="E25" i="1"/>
  <c r="E26" i="1"/>
  <c r="BI19" i="1"/>
  <c r="BI20" i="1"/>
  <c r="BI21" i="1"/>
  <c r="BI22" i="1"/>
  <c r="BI23" i="1"/>
  <c r="BI24" i="1"/>
  <c r="BI25" i="1"/>
  <c r="BI26" i="1"/>
  <c r="BI27" i="1"/>
  <c r="BI28" i="1"/>
  <c r="BI29" i="1"/>
  <c r="BI30" i="1"/>
  <c r="BI31" i="1"/>
  <c r="BI32" i="1"/>
  <c r="BI33" i="1"/>
  <c r="BI34" i="1"/>
  <c r="BI35" i="1"/>
  <c r="BI36" i="1"/>
  <c r="BI37" i="1"/>
  <c r="BI38" i="1"/>
  <c r="BI39" i="1"/>
  <c r="BI40" i="1"/>
  <c r="BI41" i="1"/>
  <c r="BI42" i="1"/>
  <c r="BI43" i="1"/>
  <c r="BI44" i="1"/>
  <c r="BI45" i="1"/>
  <c r="BI46" i="1"/>
  <c r="BI47" i="1"/>
  <c r="BI48" i="1"/>
  <c r="BI49" i="1"/>
  <c r="BI50" i="1"/>
  <c r="BI51" i="1"/>
  <c r="BI52" i="1"/>
  <c r="BI53" i="1"/>
  <c r="BI18" i="1"/>
  <c r="BD11" i="1"/>
  <c r="BD12" i="1"/>
  <c r="BD13" i="1"/>
  <c r="BD14" i="1"/>
  <c r="BD15" i="1"/>
  <c r="BD16" i="1"/>
  <c r="BD17" i="1"/>
  <c r="BD18" i="1"/>
  <c r="BD19" i="1"/>
  <c r="BD20" i="1"/>
  <c r="BD21" i="1"/>
  <c r="BD22" i="1"/>
  <c r="BD23" i="1"/>
  <c r="BD24" i="1"/>
  <c r="BD25" i="1"/>
  <c r="BD26" i="1"/>
  <c r="BD27" i="1"/>
  <c r="BD28" i="1"/>
  <c r="BD29" i="1"/>
  <c r="BD30" i="1"/>
  <c r="BD31" i="1"/>
  <c r="BD32" i="1"/>
  <c r="BD33" i="1"/>
  <c r="BD34" i="1"/>
  <c r="BD35" i="1"/>
  <c r="BD36" i="1"/>
  <c r="BD37" i="1"/>
  <c r="BD38" i="1"/>
  <c r="BD39" i="1"/>
  <c r="BD40" i="1"/>
  <c r="BD41" i="1"/>
  <c r="BD42" i="1"/>
  <c r="BD43" i="1"/>
  <c r="BD44" i="1"/>
  <c r="BD45" i="1"/>
  <c r="BD46" i="1"/>
  <c r="BD47" i="1"/>
  <c r="BD48" i="1"/>
  <c r="BD49" i="1"/>
  <c r="BD50" i="1"/>
  <c r="BD51" i="1"/>
  <c r="BD52" i="1"/>
  <c r="BD53" i="1"/>
  <c r="BD10" i="1"/>
  <c r="AY7" i="1"/>
  <c r="AY8" i="1"/>
  <c r="AY9" i="1"/>
  <c r="AY10" i="1"/>
  <c r="AY11" i="1"/>
  <c r="AY12" i="1"/>
  <c r="AY13" i="1"/>
  <c r="AY14" i="1"/>
  <c r="AY15" i="1"/>
  <c r="AY16" i="1"/>
  <c r="AY17" i="1"/>
  <c r="AY18" i="1"/>
  <c r="AY19" i="1"/>
  <c r="AY20" i="1"/>
  <c r="AY21" i="1"/>
  <c r="AY22" i="1"/>
  <c r="AY23" i="1"/>
  <c r="AY24" i="1"/>
  <c r="AY25" i="1"/>
  <c r="AY26" i="1"/>
  <c r="AY27" i="1"/>
  <c r="AY28" i="1"/>
  <c r="AY29" i="1"/>
  <c r="AY30" i="1"/>
  <c r="AY31" i="1"/>
  <c r="AY32" i="1"/>
  <c r="AY33" i="1"/>
  <c r="AY34" i="1"/>
  <c r="AY35" i="1"/>
  <c r="AY36" i="1"/>
  <c r="AY37" i="1"/>
  <c r="AY38" i="1"/>
  <c r="AY39" i="1"/>
  <c r="AY40" i="1"/>
  <c r="AY41" i="1"/>
  <c r="AY42" i="1"/>
  <c r="AY43" i="1"/>
  <c r="AY44" i="1"/>
  <c r="AY45" i="1"/>
  <c r="AY46" i="1"/>
  <c r="AY47" i="1"/>
  <c r="AY48" i="1"/>
  <c r="AY49" i="1"/>
  <c r="AY50" i="1"/>
  <c r="AY51" i="1"/>
  <c r="AY52" i="1"/>
  <c r="AY53" i="1"/>
  <c r="AY6" i="1"/>
  <c r="AT4" i="1"/>
  <c r="AT5" i="1"/>
  <c r="AT6" i="1"/>
  <c r="AT7" i="1"/>
  <c r="AT8" i="1"/>
  <c r="AT9" i="1"/>
  <c r="AT10" i="1"/>
  <c r="AT11" i="1"/>
  <c r="AT12" i="1"/>
  <c r="AT13" i="1"/>
  <c r="AT14" i="1"/>
  <c r="AT15" i="1"/>
  <c r="AT16" i="1"/>
  <c r="AT17" i="1"/>
  <c r="AT18" i="1"/>
  <c r="AT19" i="1"/>
  <c r="AT20" i="1"/>
  <c r="AT21" i="1"/>
  <c r="AT22" i="1"/>
  <c r="AT23" i="1"/>
  <c r="AT24" i="1"/>
  <c r="AT25" i="1"/>
  <c r="AT26" i="1"/>
  <c r="AT27" i="1"/>
  <c r="AT28" i="1"/>
  <c r="AT29" i="1"/>
  <c r="AT30" i="1"/>
  <c r="AT31" i="1"/>
  <c r="AT32" i="1"/>
  <c r="AT33" i="1"/>
  <c r="AT34" i="1"/>
  <c r="AT35" i="1"/>
  <c r="AT36" i="1"/>
  <c r="AT37" i="1"/>
  <c r="AT38" i="1"/>
  <c r="AT39" i="1"/>
  <c r="AT40" i="1"/>
  <c r="AT41" i="1"/>
  <c r="AT42" i="1"/>
  <c r="AT43" i="1"/>
  <c r="AT44" i="1"/>
  <c r="AT45" i="1"/>
  <c r="AT46" i="1"/>
  <c r="AT47" i="1"/>
  <c r="AT48" i="1"/>
  <c r="AT49" i="1"/>
  <c r="AT50" i="1"/>
  <c r="AT51" i="1"/>
  <c r="AT52" i="1"/>
  <c r="AT53" i="1"/>
  <c r="AT3" i="1"/>
  <c r="AO19" i="1"/>
  <c r="AO20" i="1"/>
  <c r="AO21" i="1"/>
  <c r="AO22" i="1"/>
  <c r="AO23" i="1"/>
  <c r="AO24" i="1"/>
  <c r="AO25" i="1"/>
  <c r="AO26" i="1"/>
  <c r="AO27" i="1"/>
  <c r="AO28" i="1"/>
  <c r="AO29" i="1"/>
  <c r="AO30" i="1"/>
  <c r="AO31" i="1"/>
  <c r="AO32" i="1"/>
  <c r="AO33" i="1"/>
  <c r="AO34" i="1"/>
  <c r="AO35" i="1"/>
  <c r="AO36" i="1"/>
  <c r="AO37" i="1"/>
  <c r="AO38" i="1"/>
  <c r="AO39" i="1"/>
  <c r="AO40" i="1"/>
  <c r="AO41" i="1"/>
  <c r="AO42" i="1"/>
  <c r="AO43" i="1"/>
  <c r="AO44" i="1"/>
  <c r="AO45" i="1"/>
  <c r="AO46" i="1"/>
  <c r="AO47" i="1"/>
  <c r="AO48" i="1"/>
  <c r="AO49" i="1"/>
  <c r="AO50" i="1"/>
  <c r="AO51" i="1"/>
  <c r="AO52" i="1"/>
  <c r="AO53" i="1"/>
  <c r="AO18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38" i="1"/>
  <c r="AJ39" i="1"/>
  <c r="AJ40" i="1"/>
  <c r="AJ41" i="1"/>
  <c r="AJ42" i="1"/>
  <c r="AJ43" i="1"/>
  <c r="AJ44" i="1"/>
  <c r="AJ45" i="1"/>
  <c r="AJ46" i="1"/>
  <c r="AJ47" i="1"/>
  <c r="AJ48" i="1"/>
  <c r="AJ49" i="1"/>
  <c r="AJ50" i="1"/>
  <c r="AJ51" i="1"/>
  <c r="AJ52" i="1"/>
  <c r="AJ53" i="1"/>
  <c r="AJ10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6" i="1"/>
  <c r="Z4" i="1"/>
  <c r="Z5" i="1"/>
  <c r="Z6" i="1"/>
  <c r="Z7" i="1"/>
  <c r="Z8" i="1"/>
  <c r="Z9" i="1"/>
  <c r="Z10" i="1"/>
  <c r="Z11" i="1"/>
  <c r="Z12" i="1"/>
  <c r="Z13" i="1"/>
  <c r="Z14" i="1"/>
  <c r="Z15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3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18" i="1"/>
  <c r="P20" i="1"/>
  <c r="P11" i="1"/>
  <c r="P12" i="1"/>
  <c r="P13" i="1"/>
  <c r="P14" i="1"/>
  <c r="P15" i="1"/>
  <c r="P16" i="1"/>
  <c r="P17" i="1"/>
  <c r="P18" i="1"/>
  <c r="P19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10" i="1"/>
  <c r="K15" i="1"/>
  <c r="K17" i="1"/>
  <c r="K7" i="1"/>
  <c r="K8" i="1"/>
  <c r="K9" i="1"/>
  <c r="K10" i="1"/>
  <c r="K11" i="1"/>
  <c r="K12" i="1"/>
  <c r="K13" i="1"/>
  <c r="K14" i="1"/>
  <c r="K16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6" i="1"/>
  <c r="F12" i="1"/>
  <c r="F4" i="1"/>
  <c r="F5" i="1"/>
  <c r="F6" i="1"/>
  <c r="F7" i="1"/>
  <c r="F8" i="1"/>
  <c r="F9" i="1"/>
  <c r="F10" i="1"/>
  <c r="F11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3" i="1"/>
  <c r="BH3" i="1"/>
  <c r="BH4" i="1"/>
  <c r="BH5" i="1"/>
  <c r="BH6" i="1"/>
  <c r="BH7" i="1"/>
  <c r="BH8" i="1"/>
  <c r="BH9" i="1"/>
  <c r="BH10" i="1"/>
  <c r="BH11" i="1"/>
  <c r="BH12" i="1"/>
  <c r="BH13" i="1"/>
  <c r="BH14" i="1"/>
  <c r="BH15" i="1"/>
  <c r="BH16" i="1"/>
  <c r="BH17" i="1"/>
  <c r="BH18" i="1"/>
  <c r="BH19" i="1"/>
  <c r="BH20" i="1"/>
  <c r="BH21" i="1"/>
  <c r="BH22" i="1"/>
  <c r="BH23" i="1"/>
  <c r="BH24" i="1"/>
  <c r="BH25" i="1"/>
  <c r="BH26" i="1"/>
  <c r="BH27" i="1"/>
  <c r="BH28" i="1"/>
  <c r="BH29" i="1"/>
  <c r="BH30" i="1"/>
  <c r="BH31" i="1"/>
  <c r="BH32" i="1"/>
  <c r="BH33" i="1"/>
  <c r="BH34" i="1"/>
  <c r="BH35" i="1"/>
  <c r="BH36" i="1"/>
  <c r="BH37" i="1"/>
  <c r="BH38" i="1"/>
  <c r="BH39" i="1"/>
  <c r="BH40" i="1"/>
  <c r="BH41" i="1"/>
  <c r="BH42" i="1"/>
  <c r="BH43" i="1"/>
  <c r="BH44" i="1"/>
  <c r="BH45" i="1"/>
  <c r="BH46" i="1"/>
  <c r="BH47" i="1"/>
  <c r="BH48" i="1"/>
  <c r="BH49" i="1"/>
  <c r="BH50" i="1"/>
  <c r="BH51" i="1"/>
  <c r="BH52" i="1"/>
  <c r="BH53" i="1"/>
  <c r="BH2" i="1"/>
  <c r="BC3" i="1"/>
  <c r="BC4" i="1"/>
  <c r="BC5" i="1"/>
  <c r="BC6" i="1"/>
  <c r="BC7" i="1"/>
  <c r="BC8" i="1"/>
  <c r="BC9" i="1"/>
  <c r="BC10" i="1"/>
  <c r="BC11" i="1"/>
  <c r="BC12" i="1"/>
  <c r="BC13" i="1"/>
  <c r="BC14" i="1"/>
  <c r="BC15" i="1"/>
  <c r="BC16" i="1"/>
  <c r="BC17" i="1"/>
  <c r="BC18" i="1"/>
  <c r="BC19" i="1"/>
  <c r="BC20" i="1"/>
  <c r="BC21" i="1"/>
  <c r="BC22" i="1"/>
  <c r="BC23" i="1"/>
  <c r="BC24" i="1"/>
  <c r="BC25" i="1"/>
  <c r="BC26" i="1"/>
  <c r="BC27" i="1"/>
  <c r="BC28" i="1"/>
  <c r="BC29" i="1"/>
  <c r="BC30" i="1"/>
  <c r="BC31" i="1"/>
  <c r="BC32" i="1"/>
  <c r="BC33" i="1"/>
  <c r="BC34" i="1"/>
  <c r="BC35" i="1"/>
  <c r="BC36" i="1"/>
  <c r="BC37" i="1"/>
  <c r="BC38" i="1"/>
  <c r="BC39" i="1"/>
  <c r="BC40" i="1"/>
  <c r="BC41" i="1"/>
  <c r="BC42" i="1"/>
  <c r="BC43" i="1"/>
  <c r="BC44" i="1"/>
  <c r="BC45" i="1"/>
  <c r="BC46" i="1"/>
  <c r="BC47" i="1"/>
  <c r="BC48" i="1"/>
  <c r="BC49" i="1"/>
  <c r="BC50" i="1"/>
  <c r="BC51" i="1"/>
  <c r="BC52" i="1"/>
  <c r="BC53" i="1"/>
  <c r="BC2" i="1"/>
  <c r="AX3" i="1"/>
  <c r="AX4" i="1"/>
  <c r="AX5" i="1"/>
  <c r="AX6" i="1"/>
  <c r="AX7" i="1"/>
  <c r="AX8" i="1"/>
  <c r="AX9" i="1"/>
  <c r="AX10" i="1"/>
  <c r="AX11" i="1"/>
  <c r="AX12" i="1"/>
  <c r="AX13" i="1"/>
  <c r="AX14" i="1"/>
  <c r="AX15" i="1"/>
  <c r="AX16" i="1"/>
  <c r="AX17" i="1"/>
  <c r="AX18" i="1"/>
  <c r="AX19" i="1"/>
  <c r="AX20" i="1"/>
  <c r="AX21" i="1"/>
  <c r="AX22" i="1"/>
  <c r="AX23" i="1"/>
  <c r="AX24" i="1"/>
  <c r="AX25" i="1"/>
  <c r="AX26" i="1"/>
  <c r="AX27" i="1"/>
  <c r="AX28" i="1"/>
  <c r="AX29" i="1"/>
  <c r="AX30" i="1"/>
  <c r="AX31" i="1"/>
  <c r="AX32" i="1"/>
  <c r="AX33" i="1"/>
  <c r="AX34" i="1"/>
  <c r="AX35" i="1"/>
  <c r="AX36" i="1"/>
  <c r="AX37" i="1"/>
  <c r="AX38" i="1"/>
  <c r="AX39" i="1"/>
  <c r="AX40" i="1"/>
  <c r="AX41" i="1"/>
  <c r="AX42" i="1"/>
  <c r="AX43" i="1"/>
  <c r="AX44" i="1"/>
  <c r="AX45" i="1"/>
  <c r="AX46" i="1"/>
  <c r="AX47" i="1"/>
  <c r="AX48" i="1"/>
  <c r="AX49" i="1"/>
  <c r="AX50" i="1"/>
  <c r="AX51" i="1"/>
  <c r="AX52" i="1"/>
  <c r="AX53" i="1"/>
  <c r="AX2" i="1"/>
  <c r="AS3" i="1"/>
  <c r="AS4" i="1"/>
  <c r="AS5" i="1"/>
  <c r="AS6" i="1"/>
  <c r="AS7" i="1"/>
  <c r="AS8" i="1"/>
  <c r="AS9" i="1"/>
  <c r="AS10" i="1"/>
  <c r="AS11" i="1"/>
  <c r="AS12" i="1"/>
  <c r="AS13" i="1"/>
  <c r="AS14" i="1"/>
  <c r="AS15" i="1"/>
  <c r="AS16" i="1"/>
  <c r="AS17" i="1"/>
  <c r="AS18" i="1"/>
  <c r="AS19" i="1"/>
  <c r="AS20" i="1"/>
  <c r="AS21" i="1"/>
  <c r="AS22" i="1"/>
  <c r="AS23" i="1"/>
  <c r="AS24" i="1"/>
  <c r="AS25" i="1"/>
  <c r="AS26" i="1"/>
  <c r="AS27" i="1"/>
  <c r="AS28" i="1"/>
  <c r="AS29" i="1"/>
  <c r="AS30" i="1"/>
  <c r="AS31" i="1"/>
  <c r="AS32" i="1"/>
  <c r="AS33" i="1"/>
  <c r="AS34" i="1"/>
  <c r="AS35" i="1"/>
  <c r="AS36" i="1"/>
  <c r="AS37" i="1"/>
  <c r="AS38" i="1"/>
  <c r="AS39" i="1"/>
  <c r="AS40" i="1"/>
  <c r="AS41" i="1"/>
  <c r="AS42" i="1"/>
  <c r="AS43" i="1"/>
  <c r="AS44" i="1"/>
  <c r="AS45" i="1"/>
  <c r="AS46" i="1"/>
  <c r="AS47" i="1"/>
  <c r="AS48" i="1"/>
  <c r="AS49" i="1"/>
  <c r="AS50" i="1"/>
  <c r="AS51" i="1"/>
  <c r="AS52" i="1"/>
  <c r="AS53" i="1"/>
  <c r="AS2" i="1"/>
  <c r="AN3" i="1"/>
  <c r="AN4" i="1"/>
  <c r="AN5" i="1"/>
  <c r="AN6" i="1"/>
  <c r="AN7" i="1"/>
  <c r="AN8" i="1"/>
  <c r="AN9" i="1"/>
  <c r="AN10" i="1"/>
  <c r="AN11" i="1"/>
  <c r="AN12" i="1"/>
  <c r="AN13" i="1"/>
  <c r="AN14" i="1"/>
  <c r="AN15" i="1"/>
  <c r="AN16" i="1"/>
  <c r="AN17" i="1"/>
  <c r="AN18" i="1"/>
  <c r="AN19" i="1"/>
  <c r="AN20" i="1"/>
  <c r="AN21" i="1"/>
  <c r="AN22" i="1"/>
  <c r="AN23" i="1"/>
  <c r="AN24" i="1"/>
  <c r="AN25" i="1"/>
  <c r="AN26" i="1"/>
  <c r="AN27" i="1"/>
  <c r="AN28" i="1"/>
  <c r="AN29" i="1"/>
  <c r="AN30" i="1"/>
  <c r="AN31" i="1"/>
  <c r="AN32" i="1"/>
  <c r="AN33" i="1"/>
  <c r="AN34" i="1"/>
  <c r="AN35" i="1"/>
  <c r="AN36" i="1"/>
  <c r="AN37" i="1"/>
  <c r="AN38" i="1"/>
  <c r="AN39" i="1"/>
  <c r="AN40" i="1"/>
  <c r="AN41" i="1"/>
  <c r="AN42" i="1"/>
  <c r="AN43" i="1"/>
  <c r="AN44" i="1"/>
  <c r="AN45" i="1"/>
  <c r="AN46" i="1"/>
  <c r="AN47" i="1"/>
  <c r="AN48" i="1"/>
  <c r="AN49" i="1"/>
  <c r="AN50" i="1"/>
  <c r="AN51" i="1"/>
  <c r="AN52" i="1"/>
  <c r="AN53" i="1"/>
  <c r="AN2" i="1"/>
  <c r="AK2" i="1"/>
  <c r="AI3" i="1"/>
  <c r="AI4" i="1"/>
  <c r="AI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2" i="1"/>
  <c r="AD3" i="1"/>
  <c r="AD4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2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2" i="1"/>
  <c r="E3" i="1"/>
  <c r="E5" i="1"/>
  <c r="E7" i="1"/>
  <c r="E9" i="1"/>
  <c r="E10" i="1"/>
  <c r="E11" i="1"/>
  <c r="E12" i="1"/>
  <c r="E17" i="1"/>
  <c r="E19" i="1"/>
  <c r="E21" i="1"/>
  <c r="E22" i="1"/>
  <c r="E24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V53" i="1"/>
  <c r="AF11" i="1"/>
  <c r="BJ7" i="1"/>
  <c r="BJ3" i="1"/>
  <c r="BJ4" i="1"/>
  <c r="BJ5" i="1"/>
  <c r="BJ6" i="1"/>
  <c r="BJ8" i="1"/>
  <c r="BJ9" i="1"/>
  <c r="BJ10" i="1"/>
  <c r="BJ11" i="1"/>
  <c r="BJ12" i="1"/>
  <c r="BJ13" i="1"/>
  <c r="BJ14" i="1"/>
  <c r="BJ15" i="1"/>
  <c r="BJ16" i="1"/>
  <c r="BJ17" i="1"/>
  <c r="BJ18" i="1"/>
  <c r="BJ19" i="1"/>
  <c r="BJ20" i="1"/>
  <c r="BJ21" i="1"/>
  <c r="BJ22" i="1"/>
  <c r="BJ23" i="1"/>
  <c r="BJ24" i="1"/>
  <c r="BJ25" i="1"/>
  <c r="BJ26" i="1"/>
  <c r="BJ27" i="1"/>
  <c r="BJ28" i="1"/>
  <c r="BJ29" i="1"/>
  <c r="BJ30" i="1"/>
  <c r="BJ31" i="1"/>
  <c r="BJ32" i="1"/>
  <c r="BJ33" i="1"/>
  <c r="BJ34" i="1"/>
  <c r="BJ35" i="1"/>
  <c r="BJ36" i="1"/>
  <c r="BJ37" i="1"/>
  <c r="BJ38" i="1"/>
  <c r="BJ39" i="1"/>
  <c r="BJ40" i="1"/>
  <c r="BJ41" i="1"/>
  <c r="BJ42" i="1"/>
  <c r="BJ43" i="1"/>
  <c r="BJ44" i="1"/>
  <c r="BJ45" i="1"/>
  <c r="BJ46" i="1"/>
  <c r="BJ47" i="1"/>
  <c r="BJ48" i="1"/>
  <c r="BJ49" i="1"/>
  <c r="BJ50" i="1"/>
  <c r="BJ51" i="1"/>
  <c r="BJ52" i="1"/>
  <c r="BJ53" i="1"/>
  <c r="BJ2" i="1"/>
  <c r="BE3" i="1"/>
  <c r="BE4" i="1"/>
  <c r="BE5" i="1"/>
  <c r="BE6" i="1"/>
  <c r="BE7" i="1"/>
  <c r="BE8" i="1"/>
  <c r="BE9" i="1"/>
  <c r="BE10" i="1"/>
  <c r="BE11" i="1"/>
  <c r="BE12" i="1"/>
  <c r="BE13" i="1"/>
  <c r="BE14" i="1"/>
  <c r="BE15" i="1"/>
  <c r="BE16" i="1"/>
  <c r="BE17" i="1"/>
  <c r="BE18" i="1"/>
  <c r="BE19" i="1"/>
  <c r="BE20" i="1"/>
  <c r="BE21" i="1"/>
  <c r="BE22" i="1"/>
  <c r="BE23" i="1"/>
  <c r="BE24" i="1"/>
  <c r="BE25" i="1"/>
  <c r="BE26" i="1"/>
  <c r="BE27" i="1"/>
  <c r="BE28" i="1"/>
  <c r="BE29" i="1"/>
  <c r="BE30" i="1"/>
  <c r="BE31" i="1"/>
  <c r="BE32" i="1"/>
  <c r="BE33" i="1"/>
  <c r="BE34" i="1"/>
  <c r="BE35" i="1"/>
  <c r="BE36" i="1"/>
  <c r="BE37" i="1"/>
  <c r="BE38" i="1"/>
  <c r="BE39" i="1"/>
  <c r="BE40" i="1"/>
  <c r="BE41" i="1"/>
  <c r="BE42" i="1"/>
  <c r="BE43" i="1"/>
  <c r="BE44" i="1"/>
  <c r="BE45" i="1"/>
  <c r="BE46" i="1"/>
  <c r="BE47" i="1"/>
  <c r="BE48" i="1"/>
  <c r="BE49" i="1"/>
  <c r="BE50" i="1"/>
  <c r="BE51" i="1"/>
  <c r="BE52" i="1"/>
  <c r="BE53" i="1"/>
  <c r="BE2" i="1"/>
  <c r="AZ3" i="1"/>
  <c r="AZ4" i="1"/>
  <c r="AZ5" i="1"/>
  <c r="AZ6" i="1"/>
  <c r="AZ7" i="1"/>
  <c r="AZ8" i="1"/>
  <c r="AZ9" i="1"/>
  <c r="AZ10" i="1"/>
  <c r="AZ11" i="1"/>
  <c r="AZ12" i="1"/>
  <c r="AZ13" i="1"/>
  <c r="AZ14" i="1"/>
  <c r="AZ15" i="1"/>
  <c r="AZ16" i="1"/>
  <c r="AZ17" i="1"/>
  <c r="AZ18" i="1"/>
  <c r="AZ19" i="1"/>
  <c r="AZ20" i="1"/>
  <c r="AZ21" i="1"/>
  <c r="AZ22" i="1"/>
  <c r="AZ23" i="1"/>
  <c r="AZ24" i="1"/>
  <c r="AZ25" i="1"/>
  <c r="AZ26" i="1"/>
  <c r="AZ27" i="1"/>
  <c r="AZ28" i="1"/>
  <c r="AZ29" i="1"/>
  <c r="AZ30" i="1"/>
  <c r="AZ31" i="1"/>
  <c r="AZ32" i="1"/>
  <c r="AZ33" i="1"/>
  <c r="AZ34" i="1"/>
  <c r="AZ35" i="1"/>
  <c r="AZ36" i="1"/>
  <c r="AZ37" i="1"/>
  <c r="AZ38" i="1"/>
  <c r="AZ39" i="1"/>
  <c r="AZ40" i="1"/>
  <c r="AZ41" i="1"/>
  <c r="AZ42" i="1"/>
  <c r="AZ43" i="1"/>
  <c r="AZ44" i="1"/>
  <c r="AZ45" i="1"/>
  <c r="AZ46" i="1"/>
  <c r="AZ47" i="1"/>
  <c r="AZ48" i="1"/>
  <c r="AZ49" i="1"/>
  <c r="AZ50" i="1"/>
  <c r="AZ51" i="1"/>
  <c r="AZ52" i="1"/>
  <c r="AZ53" i="1"/>
  <c r="AZ2" i="1"/>
  <c r="AP3" i="1"/>
  <c r="AP4" i="1"/>
  <c r="AP5" i="1"/>
  <c r="AP6" i="1"/>
  <c r="AP7" i="1"/>
  <c r="AP8" i="1"/>
  <c r="AP9" i="1"/>
  <c r="AP10" i="1"/>
  <c r="AP11" i="1"/>
  <c r="AP12" i="1"/>
  <c r="AP13" i="1"/>
  <c r="AP14" i="1"/>
  <c r="AP15" i="1"/>
  <c r="AP16" i="1"/>
  <c r="AP17" i="1"/>
  <c r="AP18" i="1"/>
  <c r="AP19" i="1"/>
  <c r="AP20" i="1"/>
  <c r="AP21" i="1"/>
  <c r="AP22" i="1"/>
  <c r="AP23" i="1"/>
  <c r="AP24" i="1"/>
  <c r="AP25" i="1"/>
  <c r="AP26" i="1"/>
  <c r="AP27" i="1"/>
  <c r="AP28" i="1"/>
  <c r="AP29" i="1"/>
  <c r="AP30" i="1"/>
  <c r="AP31" i="1"/>
  <c r="AP32" i="1"/>
  <c r="AP33" i="1"/>
  <c r="AP34" i="1"/>
  <c r="AP35" i="1"/>
  <c r="AP36" i="1"/>
  <c r="AP37" i="1"/>
  <c r="AP38" i="1"/>
  <c r="AP39" i="1"/>
  <c r="AP40" i="1"/>
  <c r="AP41" i="1"/>
  <c r="AP42" i="1"/>
  <c r="AP43" i="1"/>
  <c r="AP44" i="1"/>
  <c r="AP45" i="1"/>
  <c r="AP46" i="1"/>
  <c r="AP47" i="1"/>
  <c r="AP48" i="1"/>
  <c r="AP49" i="1"/>
  <c r="AP50" i="1"/>
  <c r="AP51" i="1"/>
  <c r="AP52" i="1"/>
  <c r="AP53" i="1"/>
  <c r="AP2" i="1"/>
  <c r="AK3" i="1"/>
  <c r="AK4" i="1"/>
  <c r="AK5" i="1"/>
  <c r="AK6" i="1"/>
  <c r="AK7" i="1"/>
  <c r="AK8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38" i="1"/>
  <c r="AK39" i="1"/>
  <c r="AK40" i="1"/>
  <c r="AK41" i="1"/>
  <c r="AK42" i="1"/>
  <c r="AK43" i="1"/>
  <c r="AK44" i="1"/>
  <c r="AK45" i="1"/>
  <c r="AK46" i="1"/>
  <c r="AK47" i="1"/>
  <c r="AK48" i="1"/>
  <c r="AK49" i="1"/>
  <c r="AK50" i="1"/>
  <c r="AK51" i="1"/>
  <c r="AK52" i="1"/>
  <c r="AK53" i="1"/>
  <c r="AF3" i="1"/>
  <c r="AF4" i="1"/>
  <c r="AF5" i="1"/>
  <c r="AF6" i="1"/>
  <c r="AF7" i="1"/>
  <c r="AF8" i="1"/>
  <c r="AF9" i="1"/>
  <c r="AF10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2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3" i="1"/>
  <c r="L2" i="1"/>
  <c r="AU55" i="1" l="1"/>
  <c r="AP55" i="1"/>
  <c r="AK55" i="1"/>
  <c r="AF55" i="1"/>
  <c r="AA55" i="1"/>
  <c r="Q55" i="1"/>
  <c r="L55" i="1"/>
  <c r="G55" i="1"/>
  <c r="BM3" i="1"/>
  <c r="BM4" i="1" s="1"/>
  <c r="BM5" i="1" s="1"/>
  <c r="BM6" i="1" s="1"/>
  <c r="BM7" i="1" s="1"/>
  <c r="BM8" i="1" s="1"/>
  <c r="BM9" i="1" s="1"/>
  <c r="BM10" i="1" s="1"/>
  <c r="BM11" i="1" s="1"/>
  <c r="BM12" i="1" s="1"/>
  <c r="BM13" i="1" s="1"/>
  <c r="BM14" i="1" s="1"/>
  <c r="BM15" i="1" s="1"/>
  <c r="BM16" i="1" s="1"/>
  <c r="BM17" i="1" s="1"/>
  <c r="BM18" i="1" s="1"/>
  <c r="BM19" i="1" s="1"/>
  <c r="BM20" i="1" s="1"/>
  <c r="BM21" i="1" s="1"/>
  <c r="BM22" i="1" s="1"/>
  <c r="BM23" i="1" s="1"/>
  <c r="BM24" i="1" s="1"/>
  <c r="BM25" i="1" s="1"/>
  <c r="BM26" i="1" s="1"/>
  <c r="BM27" i="1" s="1"/>
  <c r="BM28" i="1" s="1"/>
  <c r="BM29" i="1" s="1"/>
  <c r="BM30" i="1" s="1"/>
  <c r="BM31" i="1" s="1"/>
  <c r="BM32" i="1" s="1"/>
  <c r="BM33" i="1" s="1"/>
  <c r="BM34" i="1" s="1"/>
  <c r="BM35" i="1" s="1"/>
  <c r="BM36" i="1" s="1"/>
  <c r="BM37" i="1" s="1"/>
  <c r="BM38" i="1" s="1"/>
  <c r="BM39" i="1" s="1"/>
  <c r="BM40" i="1" s="1"/>
  <c r="BM41" i="1" s="1"/>
  <c r="BM42" i="1" s="1"/>
  <c r="BM43" i="1" s="1"/>
  <c r="BM44" i="1" s="1"/>
  <c r="BM45" i="1" s="1"/>
  <c r="BM46" i="1" s="1"/>
  <c r="BM47" i="1" s="1"/>
  <c r="BM48" i="1" s="1"/>
  <c r="BM49" i="1" s="1"/>
  <c r="BM50" i="1" s="1"/>
  <c r="BM51" i="1" s="1"/>
  <c r="BM52" i="1" s="1"/>
  <c r="BM53" i="1" s="1"/>
  <c r="BL3" i="1"/>
  <c r="BL4" i="1" s="1"/>
  <c r="BL5" i="1" s="1"/>
  <c r="BL6" i="1" s="1"/>
  <c r="BL7" i="1" s="1"/>
  <c r="BL8" i="1" s="1"/>
  <c r="BL9" i="1" s="1"/>
  <c r="BL10" i="1" s="1"/>
  <c r="BL11" i="1" s="1"/>
  <c r="BL12" i="1" s="1"/>
  <c r="BL13" i="1" s="1"/>
  <c r="BL14" i="1" s="1"/>
  <c r="BL15" i="1" s="1"/>
  <c r="BL16" i="1" s="1"/>
  <c r="BL17" i="1" s="1"/>
  <c r="BL18" i="1" s="1"/>
  <c r="BL19" i="1" s="1"/>
  <c r="BL20" i="1" s="1"/>
  <c r="BL21" i="1" s="1"/>
  <c r="BL22" i="1" s="1"/>
  <c r="BL23" i="1" s="1"/>
  <c r="BL24" i="1" s="1"/>
  <c r="BL25" i="1" s="1"/>
  <c r="BL26" i="1" s="1"/>
  <c r="BL27" i="1" s="1"/>
  <c r="BL28" i="1" s="1"/>
  <c r="BL29" i="1" s="1"/>
  <c r="BL30" i="1" s="1"/>
  <c r="BL31" i="1" s="1"/>
  <c r="BL32" i="1" s="1"/>
  <c r="BL33" i="1" s="1"/>
  <c r="BL34" i="1" s="1"/>
  <c r="BL35" i="1" s="1"/>
  <c r="BL36" i="1" s="1"/>
  <c r="BL37" i="1" s="1"/>
  <c r="BL38" i="1" s="1"/>
  <c r="BL39" i="1" s="1"/>
  <c r="BL40" i="1" s="1"/>
  <c r="BL41" i="1" s="1"/>
  <c r="BL42" i="1" s="1"/>
  <c r="BL43" i="1" s="1"/>
  <c r="BL44" i="1" s="1"/>
  <c r="BL45" i="1" s="1"/>
  <c r="BL46" i="1" s="1"/>
  <c r="BL47" i="1" s="1"/>
  <c r="BL48" i="1" s="1"/>
  <c r="BL49" i="1" s="1"/>
  <c r="BL50" i="1" s="1"/>
  <c r="BL51" i="1" s="1"/>
  <c r="BL52" i="1" s="1"/>
  <c r="BL53" i="1" s="1"/>
  <c r="BK3" i="1"/>
  <c r="BK4" i="1" s="1"/>
  <c r="BK5" i="1" s="1"/>
  <c r="BK6" i="1" s="1"/>
  <c r="BK7" i="1" s="1"/>
  <c r="BK8" i="1" s="1"/>
  <c r="BK9" i="1" s="1"/>
  <c r="BK10" i="1" s="1"/>
  <c r="BK11" i="1" s="1"/>
  <c r="BK12" i="1" s="1"/>
  <c r="BJ56" i="1" l="1"/>
  <c r="BP6" i="1" s="1"/>
  <c r="AP56" i="1"/>
  <c r="V56" i="1"/>
  <c r="BP4" i="1" s="1"/>
  <c r="BK13" i="1"/>
  <c r="BK14" i="1" s="1"/>
  <c r="BK15" i="1" s="1"/>
  <c r="BK16" i="1" s="1"/>
  <c r="BK17" i="1" s="1"/>
  <c r="BK18" i="1" s="1"/>
  <c r="BK19" i="1" s="1"/>
  <c r="BK20" i="1" s="1"/>
  <c r="BK21" i="1" s="1"/>
  <c r="BK22" i="1" s="1"/>
  <c r="BK23" i="1" s="1"/>
  <c r="BK24" i="1" s="1"/>
  <c r="BK25" i="1" s="1"/>
  <c r="BK26" i="1" s="1"/>
  <c r="BK27" i="1" s="1"/>
  <c r="BK28" i="1" s="1"/>
  <c r="BK29" i="1" s="1"/>
  <c r="BK30" i="1" s="1"/>
  <c r="BK31" i="1" s="1"/>
  <c r="BK32" i="1" s="1"/>
  <c r="BK33" i="1" s="1"/>
  <c r="BK34" i="1" s="1"/>
  <c r="BK35" i="1" s="1"/>
  <c r="BK36" i="1" s="1"/>
  <c r="BK37" i="1" s="1"/>
  <c r="BK38" i="1" s="1"/>
  <c r="BK39" i="1" s="1"/>
  <c r="BK40" i="1" s="1"/>
  <c r="BK41" i="1" s="1"/>
  <c r="BK42" i="1" s="1"/>
  <c r="BK43" i="1" s="1"/>
  <c r="BK44" i="1" s="1"/>
  <c r="BK45" i="1" s="1"/>
  <c r="BK46" i="1" s="1"/>
  <c r="BK47" i="1" s="1"/>
  <c r="BK48" i="1" s="1"/>
  <c r="BK49" i="1" s="1"/>
  <c r="BK50" i="1" s="1"/>
  <c r="BK51" i="1" s="1"/>
  <c r="BK52" i="1" s="1"/>
  <c r="BK53" i="1" s="1"/>
  <c r="BM55" i="1"/>
  <c r="BP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tc={9B04FB2C-F6E2-C345-A32A-C210BA4C3F51}</author>
    <author>tc={FBAB2DAD-F6D1-E24C-87A4-123D7BB07E21}</author>
    <author>tc={5EEB757F-D775-9748-A40D-7976E39FAD3F}</author>
  </authors>
  <commentList>
    <comment ref="BK2" authorId="0" shapeId="0" xr:uid="{9B04FB2C-F6E2-C345-A32A-C210BA4C3F5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These numbers are the fleet size for each types of the equipment. </t>
      </text>
    </comment>
    <comment ref="BL2" authorId="1" shapeId="0" xr:uid="{FBAB2DAD-F6D1-E24C-87A4-123D7BB07E2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These numbers are the fleet size for each types of the equipment. </t>
      </text>
    </comment>
    <comment ref="BM2" authorId="2" shapeId="0" xr:uid="{5EEB757F-D775-9748-A40D-7976E39FAD3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These numbers are the fleet size for each types of the equipment. </t>
      </text>
    </comment>
  </commentList>
</comments>
</file>

<file path=xl/sharedStrings.xml><?xml version="1.0" encoding="utf-8"?>
<sst xmlns="http://schemas.openxmlformats.org/spreadsheetml/2006/main" count="172" uniqueCount="139">
  <si>
    <t>Week</t>
  </si>
  <si>
    <t>Date - Week ending with</t>
  </si>
  <si>
    <t>Excavators - 1-week Demand (units)</t>
  </si>
  <si>
    <t>Excavators - 1-week Accepted (units)</t>
  </si>
  <si>
    <t>Excavators - 1-week Rejected (units)</t>
  </si>
  <si>
    <t>Excavators - 1-week Returns (units)</t>
  </si>
  <si>
    <t>Excavators - 1-week Price per day (£)</t>
  </si>
  <si>
    <t>Excavators - 4-weeks Demand (units)</t>
  </si>
  <si>
    <t>Excavators - 4-weeks Accepted (units)</t>
  </si>
  <si>
    <t>Excavators - 4-weeks Rejected (units)</t>
  </si>
  <si>
    <t>Excavators - 4-weeks Returns (units)</t>
  </si>
  <si>
    <t>Excavators - 4-weeks Price per day (£)</t>
  </si>
  <si>
    <t>Excavators - 8-weeks Demand (units)</t>
  </si>
  <si>
    <t>Excavators - 8-weeks Accepted (units)</t>
  </si>
  <si>
    <t>Excavators - 8-weeks Rejected (units)</t>
  </si>
  <si>
    <t>Excavators - 8-weeks Returns (units)</t>
  </si>
  <si>
    <t>Excavators - 8-weeks Price per day (£)</t>
  </si>
  <si>
    <t>Excavators - 16-weeks Demand (units)</t>
  </si>
  <si>
    <t>Excavators - 16-weeks Accepted (units)</t>
  </si>
  <si>
    <t>Excavators - 16-weeks Rejected (units)</t>
  </si>
  <si>
    <t>Excavators - 16-weeks Returns (units)</t>
  </si>
  <si>
    <t>Excavators - 16-weeks Price per day (£)</t>
  </si>
  <si>
    <t>Cranes - 1-week Demand (units)</t>
  </si>
  <si>
    <t>Cranes - 1-week Accepted (units)</t>
  </si>
  <si>
    <t>Cranes - 1-week Rejected (units)</t>
  </si>
  <si>
    <t>Cranes - 1-week Returns (units)</t>
  </si>
  <si>
    <t>Cranes - 1-week Price per day (£)</t>
  </si>
  <si>
    <t>Cranes - 4-weeks Demand (units)</t>
  </si>
  <si>
    <t>Cranes - 4-weeks Accepted (units)</t>
  </si>
  <si>
    <t>Cranes - 4-weeks Rejected (units)</t>
  </si>
  <si>
    <t>Cranes - 4-weeks Returns (units)</t>
  </si>
  <si>
    <t>Cranes - 4-weeks Price per day (£)</t>
  </si>
  <si>
    <t>Cranes - 8-weeks Demand (units)</t>
  </si>
  <si>
    <t>Cranes - 8-weeks Accepted (units)</t>
  </si>
  <si>
    <t>Cranes - 8-weeks Rejected (units)</t>
  </si>
  <si>
    <t>Cranes - 8-weeks Returns (units)</t>
  </si>
  <si>
    <t>Cranes - 8-weeks Price per day (£)</t>
  </si>
  <si>
    <t>Cranes - 16-weeks Demand (units)</t>
  </si>
  <si>
    <t>Cranes - 16-weeks Accepted (units)</t>
  </si>
  <si>
    <t>Cranes - 16-weeks Rejected (units)</t>
  </si>
  <si>
    <t>Cranes - 16-weeks Returns (units)</t>
  </si>
  <si>
    <t>Cranes - 16-weeks Price per day (£)</t>
  </si>
  <si>
    <t>Bulldozers - 1-week Demand (units)</t>
  </si>
  <si>
    <t>Bulldozers - 1-week Accepted (units)</t>
  </si>
  <si>
    <t>Bulldozers - 1-week Rejected (units)</t>
  </si>
  <si>
    <t>Bulldozers - 1-week Returns (units)</t>
  </si>
  <si>
    <t>Bulldozers - 1-week Price per day (£)</t>
  </si>
  <si>
    <t>Bulldozers - 4-weeks Demand (units)</t>
  </si>
  <si>
    <t>Bulldozers - 4-weeks Accepted (units)</t>
  </si>
  <si>
    <t>Bulldozers - 4-weeks Rejected (units)</t>
  </si>
  <si>
    <t>Bulldozers - 4-weeks Returns (units)</t>
  </si>
  <si>
    <t>Bulldozers - 4-weeks Price per day (£)</t>
  </si>
  <si>
    <t>Bulldozers - 8-weeks Demand (units)</t>
  </si>
  <si>
    <t>Bulldozers - 8-weeks Accepted (units)</t>
  </si>
  <si>
    <t>Bulldozers - 8-weeks Rejected (units)</t>
  </si>
  <si>
    <t>Bulldozers - 8-weeks Returns (units)</t>
  </si>
  <si>
    <t>Bulldozers - 8-weeks Price per day (£)</t>
  </si>
  <si>
    <t>Bulldozers - 16-weeks Demand (units)</t>
  </si>
  <si>
    <t>Bulldozers - 16-weeks Accepted (units)</t>
  </si>
  <si>
    <t>Bulldozers - 16-weeks Rejected (units)</t>
  </si>
  <si>
    <t>Bulldozers - 16-weeks Returns (units)</t>
  </si>
  <si>
    <t>Bulldozers - 16-weeks Price per day (£)</t>
  </si>
  <si>
    <t>Excavators - Start of Week Inventory</t>
  </si>
  <si>
    <t>Cranes - Start of Week Inventory</t>
  </si>
  <si>
    <t>Bulldozers - Start of Week Inventory</t>
  </si>
  <si>
    <t xml:space="preserve">Total revenue = </t>
  </si>
  <si>
    <t xml:space="preserve">Total revenue from Excavator = </t>
  </si>
  <si>
    <t xml:space="preserve">Total revenue from Crane = </t>
  </si>
  <si>
    <t xml:space="preserve">Total revenue from Bulldozer = </t>
  </si>
  <si>
    <t xml:space="preserve">Excavator purchase price (£) = </t>
  </si>
  <si>
    <t xml:space="preserve">Crane purchase price (£) = </t>
  </si>
  <si>
    <t xml:space="preserve">Bulldozer purchase price (£) = </t>
  </si>
  <si>
    <t>Revenue</t>
  </si>
  <si>
    <t>Revenue per equipment type</t>
  </si>
  <si>
    <t>Original Fleet Utilization Rate</t>
  </si>
  <si>
    <t>Excavators</t>
  </si>
  <si>
    <t>51.30%</t>
  </si>
  <si>
    <t>Cranes</t>
  </si>
  <si>
    <t>41.34%</t>
  </si>
  <si>
    <t>Bulldozers</t>
  </si>
  <si>
    <t>34.97%</t>
  </si>
  <si>
    <t>Unused Inventory Revenue Loss</t>
  </si>
  <si>
    <t>£377,948,928.00</t>
  </si>
  <si>
    <t>£586,067,293.00</t>
  </si>
  <si>
    <t>£718,611,964.00</t>
  </si>
  <si>
    <t>Optimized Fleet Utilization Rate</t>
  </si>
  <si>
    <t>79.99%</t>
  </si>
  <si>
    <t>68.95%</t>
  </si>
  <si>
    <t>49.85%</t>
  </si>
  <si>
    <t>Improved Fleet Utilization Rate</t>
  </si>
  <si>
    <t>55.91%</t>
  </si>
  <si>
    <t>66.79%</t>
  </si>
  <si>
    <t>42.58%</t>
  </si>
  <si>
    <t>Revenue per Unit (RPU)</t>
  </si>
  <si>
    <t>£9,675.25</t>
  </si>
  <si>
    <t>£12,917.76</t>
  </si>
  <si>
    <t>£10,566.49</t>
  </si>
  <si>
    <t>Lost Revenue Due to Rejected Rentals</t>
  </si>
  <si>
    <t>£1,546,769.00</t>
  </si>
  <si>
    <t>£1,040,970.00</t>
  </si>
  <si>
    <t>£447,146.00</t>
  </si>
  <si>
    <t>Optimized Revenue Per Equipment Type</t>
  </si>
  <si>
    <t>£49,866,264.00</t>
  </si>
  <si>
    <t>£69,471,738.00</t>
  </si>
  <si>
    <t>£59,140,634.00</t>
  </si>
  <si>
    <t>Revenue Improvement Per Equipment Type</t>
  </si>
  <si>
    <t>£4,592,259.00</t>
  </si>
  <si>
    <t>£7,686,049.00</t>
  </si>
  <si>
    <t>£5,726,714.00</t>
  </si>
  <si>
    <t>Revenue Improvement Rate Per Equipment Type</t>
  </si>
  <si>
    <t>10.14%</t>
  </si>
  <si>
    <t>12.44%</t>
  </si>
  <si>
    <t>10.72%</t>
  </si>
  <si>
    <t>Actual ROI Per Equipment Type</t>
  </si>
  <si>
    <t>396.43%</t>
  </si>
  <si>
    <t>396.27%</t>
  </si>
  <si>
    <t>137.40%</t>
  </si>
  <si>
    <t>Optimized ROI Per Equipment Type</t>
  </si>
  <si>
    <t>446.78%</t>
  </si>
  <si>
    <t>458.01%</t>
  </si>
  <si>
    <t>162.85%</t>
  </si>
  <si>
    <t>Overall ROI Improvement Per Equipment Type</t>
  </si>
  <si>
    <t>12.70%</t>
  </si>
  <si>
    <t>15.58%</t>
  </si>
  <si>
    <t>18.52%</t>
  </si>
  <si>
    <t>Optimal rental revenue achieved</t>
  </si>
  <si>
    <t>Actual rental revenue</t>
  </si>
  <si>
    <t>Revenue improvement</t>
  </si>
  <si>
    <t>Revenue improvement rate</t>
  </si>
  <si>
    <t>11.22%</t>
  </si>
  <si>
    <t>Actual ROI</t>
  </si>
  <si>
    <t>264.13%</t>
  </si>
  <si>
    <t>Optimized ROI</t>
  </si>
  <si>
    <t>304.99%</t>
  </si>
  <si>
    <t>Overall ROI Improvement</t>
  </si>
  <si>
    <t>15.47%</t>
  </si>
  <si>
    <t>£178,478,636.01</t>
  </si>
  <si>
    <t>£160,473,614.01</t>
  </si>
  <si>
    <t>£18,005,022.01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</si>
</sst>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yyyy\-mm\-dd\ hh:mm:ss"/>
    <numFmt numFmtId="166" formatCode="_(* #,##0_);_(* \(#,##0\);_(* &quot;-&quot;??_);_(@_)"/>
  </numFmts>
  <fonts count="6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39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1" fillId="7" borderId="1" xfId="0" applyFont="1" applyFill="1" applyBorder="1" applyAlignment="1">
      <alignment horizontal="center" vertical="top"/>
    </xf>
    <xf numFmtId="0" fontId="0" fillId="7" borderId="0" xfId="0" applyFill="1"/>
    <xf numFmtId="0" fontId="1" fillId="8" borderId="1" xfId="0" applyFont="1" applyFill="1" applyBorder="1" applyAlignment="1">
      <alignment horizontal="center" vertical="top"/>
    </xf>
    <xf numFmtId="0" fontId="0" fillId="8" borderId="0" xfId="0" applyFill="1"/>
    <xf numFmtId="0" fontId="1" fillId="9" borderId="1" xfId="0" applyFont="1" applyFill="1" applyBorder="1" applyAlignment="1">
      <alignment horizontal="center" vertical="top"/>
    </xf>
    <xf numFmtId="0" fontId="0" fillId="9" borderId="0" xfId="0" applyFill="1"/>
    <xf numFmtId="0" fontId="1" fillId="2" borderId="2" xfId="0" applyFont="1" applyFill="1" applyBorder="1" applyAlignment="1">
      <alignment horizontal="center" vertical="top"/>
    </xf>
    <xf numFmtId="0" fontId="1" fillId="3" borderId="2" xfId="0" applyFont="1" applyFill="1" applyBorder="1" applyAlignment="1">
      <alignment horizontal="center" vertical="top"/>
    </xf>
    <xf numFmtId="0" fontId="1" fillId="4" borderId="2" xfId="0" applyFont="1" applyFill="1" applyBorder="1" applyAlignment="1">
      <alignment horizontal="center" vertical="top"/>
    </xf>
    <xf numFmtId="0" fontId="1" fillId="5" borderId="2" xfId="0" applyFont="1" applyFill="1" applyBorder="1" applyAlignment="1">
      <alignment horizontal="center" vertical="top"/>
    </xf>
    <xf numFmtId="0" fontId="1" fillId="6" borderId="2" xfId="0" applyFont="1" applyFill="1" applyBorder="1" applyAlignment="1">
      <alignment horizontal="center" vertical="top"/>
    </xf>
    <xf numFmtId="0" fontId="0" fillId="2" borderId="4" xfId="0" applyFill="1" applyBorder="1"/>
    <xf numFmtId="0" fontId="0" fillId="3" borderId="4" xfId="0" applyFill="1" applyBorder="1"/>
    <xf numFmtId="0" fontId="0" fillId="4" borderId="4" xfId="0" applyFill="1" applyBorder="1"/>
    <xf numFmtId="0" fontId="0" fillId="5" borderId="4" xfId="0" applyFill="1" applyBorder="1"/>
    <xf numFmtId="0" fontId="0" fillId="6" borderId="4" xfId="0" applyFill="1" applyBorder="1"/>
    <xf numFmtId="0" fontId="0" fillId="5" borderId="5" xfId="0" applyFill="1" applyBorder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5" borderId="7" xfId="0" applyFill="1" applyBorder="1"/>
    <xf numFmtId="0" fontId="0" fillId="2" borderId="9" xfId="0" applyFill="1" applyBorder="1"/>
    <xf numFmtId="0" fontId="0" fillId="3" borderId="9" xfId="0" applyFill="1" applyBorder="1"/>
    <xf numFmtId="0" fontId="0" fillId="5" borderId="9" xfId="0" applyFill="1" applyBorder="1"/>
    <xf numFmtId="0" fontId="0" fillId="6" borderId="9" xfId="0" applyFill="1" applyBorder="1"/>
    <xf numFmtId="0" fontId="0" fillId="5" borderId="10" xfId="0" applyFill="1" applyBorder="1"/>
    <xf numFmtId="0" fontId="0" fillId="6" borderId="3" xfId="0" applyFill="1" applyBorder="1"/>
    <xf numFmtId="0" fontId="0" fillId="6" borderId="6" xfId="0" applyFill="1" applyBorder="1"/>
    <xf numFmtId="0" fontId="0" fillId="6" borderId="8" xfId="0" applyFill="1" applyBorder="1"/>
    <xf numFmtId="166" fontId="0" fillId="0" borderId="0" xfId="1" applyNumberFormat="1" applyFont="1"/>
    <xf numFmtId="0" fontId="4" fillId="0" borderId="0" xfId="0" applyFont="1"/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431800</xdr:colOff>
      <xdr:row>1</xdr:row>
      <xdr:rowOff>8245</xdr:rowOff>
    </xdr:from>
    <xdr:to>
      <xdr:col>18</xdr:col>
      <xdr:colOff>6350</xdr:colOff>
      <xdr:row>486</xdr:row>
      <xdr:rowOff>114300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1B6C5B-7058-E139-55B5-025F928F48C0}"/>
            </a:ext>
          </a:extLst>
        </xdr:cNvPr>
        <xdr:cNvSpPr txBox="1"/>
      </xdr:nvSpPr>
      <xdr:spPr>
        <a:xfrm>
          <a:off x="1041400" y="192395"/>
          <a:ext cx="9937750" cy="8941880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# -*- coding: utf-8 -*-</a:t>
          </a:r>
        </a:p>
        <a:p>
          <a:r>
            <a:rPr lang="en-IN" sz="1100"/>
            <a:t>"""</a:t>
          </a:r>
        </a:p>
        <a:p>
          <a:r>
            <a:rPr lang="en-IN" sz="1100"/>
            <a:t>Created on Mon Mar  3 20:58:41 2025</a:t>
          </a:r>
        </a:p>
        <a:p>
          <a:endParaRPr lang="en-IN" sz="1100"/>
        </a:p>
        <a:p>
          <a:r>
            <a:rPr lang="en-IN" sz="1100"/>
            <a:t>@author: GROUP_1</a:t>
          </a:r>
        </a:p>
        <a:p>
          <a:endParaRPr lang="en-IN" sz="1100"/>
        </a:p>
        <a:p>
          <a:r>
            <a:rPr lang="en-IN" sz="1100"/>
            <a:t>Decision Variables:</a:t>
          </a:r>
        </a:p>
        <a:p>
          <a:r>
            <a:rPr lang="en-IN" sz="1100"/>
            <a:t>x[i, j, t]: The number of rentals of equipment type j, with lease duration i, in time period t.</a:t>
          </a:r>
        </a:p>
        <a:p>
          <a:r>
            <a:rPr lang="en-IN" sz="1100"/>
            <a:t>    - i: Lease durations (1 = 1-week, 2 = 4-weeks, 3 = 8-weeks, 4 = 16-weeks)</a:t>
          </a:r>
        </a:p>
        <a:p>
          <a:r>
            <a:rPr lang="en-IN" sz="1100"/>
            <a:t>    - j: Equipment types (1 = Excavators, 2 = Cranes, 3 = Bulldozers)</a:t>
          </a:r>
        </a:p>
        <a:p>
          <a:r>
            <a:rPr lang="en-IN" sz="1100"/>
            <a:t>    - t: Time periods (1 to 52 weeks)</a:t>
          </a:r>
        </a:p>
        <a:p>
          <a:endParaRPr lang="en-IN" sz="1100"/>
        </a:p>
        <a:p>
          <a:r>
            <a:rPr lang="en-IN" sz="1100"/>
            <a:t>    The decision variable `x[i, j, t]` represents the number of rental units for equipment type j (e.g., Excavators, Cranes, or Bulldozers) for a specific lease duration i (1-week, 4-weeks, 8-weeks, or 16-weeks) during the time period t (from 1 to 52 weeks).</a:t>
          </a:r>
        </a:p>
        <a:p>
          <a:endParaRPr lang="en-IN" sz="1100"/>
        </a:p>
        <a:p>
          <a:r>
            <a:rPr lang="en-IN" sz="1100"/>
            <a:t>Constraints:</a:t>
          </a:r>
        </a:p>
        <a:p>
          <a:r>
            <a:rPr lang="en-IN" sz="1100"/>
            <a:t>1. Inventory Constraint: </a:t>
          </a:r>
        </a:p>
        <a:p>
          <a:r>
            <a:rPr lang="en-IN" sz="1100"/>
            <a:t>   sum(x[i, j, t] for i in lease_durations.keys()) &lt;= inventory[j, t]</a:t>
          </a:r>
        </a:p>
        <a:p>
          <a:r>
            <a:rPr lang="en-IN" sz="1100"/>
            <a:t>   This constraint ensures that the total number of rentals for equipment type j and time period t does not exceed the available inventory `I_jt[j, t]`.</a:t>
          </a:r>
        </a:p>
        <a:p>
          <a:endParaRPr lang="en-IN" sz="1100"/>
        </a:p>
        <a:p>
          <a:r>
            <a:rPr lang="en-IN" sz="1100"/>
            <a:t>2. Demand Constraint: </a:t>
          </a:r>
        </a:p>
        <a:p>
          <a:r>
            <a:rPr lang="en-IN" sz="1100"/>
            <a:t>   x[i, j, t] &lt;= D_ijt[i, j, t]</a:t>
          </a:r>
        </a:p>
        <a:p>
          <a:r>
            <a:rPr lang="en-IN" sz="1100"/>
            <a:t>   This constraint ensures that the number of rentals for each equipment type j, lease duration i, in time period t does not exceed the demand `D_ijt[i, j, t]`.</a:t>
          </a:r>
        </a:p>
        <a:p>
          <a:endParaRPr lang="en-IN" sz="1100"/>
        </a:p>
        <a:p>
          <a:r>
            <a:rPr lang="en-IN" sz="1100"/>
            <a:t>3. Inventory Update Constraint:</a:t>
          </a:r>
        </a:p>
        <a:p>
          <a:r>
            <a:rPr lang="en-IN" sz="1100"/>
            <a:t>   inventory[j, t] == inventory[j, t - 1] + sum((x[i, j, t - durations_weeks[i]] if (t - durations_weeks[i]) &gt;= 1 else 0 ) for i in lease_durations.keys()) - sum(x[i, j, t-1] for i in lease_durations.keys()) )</a:t>
          </a:r>
        </a:p>
        <a:p>
          <a:r>
            <a:rPr lang="en-IN" sz="1100"/>
            <a:t>   This constraint ensures that inventory levels are updated each week based on the rentals and returns. The inventory at the start of week `t` is determined by the inventory at the start of week `t`, plus the units returned, minus the rentals made in week `t-1`.</a:t>
          </a:r>
        </a:p>
        <a:p>
          <a:endParaRPr lang="en-IN" sz="1100"/>
        </a:p>
        <a:p>
          <a:r>
            <a:rPr lang="en-IN" sz="1100"/>
            <a:t>4. Non-negativity Constraint:</a:t>
          </a:r>
        </a:p>
        <a:p>
          <a:r>
            <a:rPr lang="en-IN" sz="1100"/>
            <a:t>   x[i, j, t] &gt;= 0 for all i, j, t</a:t>
          </a:r>
        </a:p>
        <a:p>
          <a:r>
            <a:rPr lang="en-IN" sz="1100"/>
            <a:t>   This constraint enforces that the number of rentals `x[i, j, t]` for each equipment type, lease duration, and time period must be non-negative (cannot rent negative units).</a:t>
          </a:r>
        </a:p>
        <a:p>
          <a:endParaRPr lang="en-IN" sz="1100"/>
        </a:p>
        <a:p>
          <a:r>
            <a:rPr lang="en-IN" sz="1100"/>
            <a:t>Objective Function:</a:t>
          </a:r>
        </a:p>
        <a:p>
          <a:r>
            <a:rPr lang="en-IN" sz="1100"/>
            <a:t>Maximize Revenue = sum(P_ijt[i, j, t] * x[i, j, t] * T_i[i] for i in lease_durations.keys() for j in equipment_names.keys() for t in time_periods)</a:t>
          </a:r>
        </a:p>
        <a:p>
          <a:r>
            <a:rPr lang="en-IN" sz="1100"/>
            <a:t>Where:</a:t>
          </a:r>
        </a:p>
        <a:p>
          <a:r>
            <a:rPr lang="en-IN" sz="1100"/>
            <a:t>- `P_ijt[i, j, t]` is the price per day for equipment type j, lease duration i, in time period t.</a:t>
          </a:r>
        </a:p>
        <a:p>
          <a:r>
            <a:rPr lang="en-IN" sz="1100"/>
            <a:t>- `T_i[i]` is the duration (in days) for lease duration i (1 = 7 days, 2 = 28 days, 3 = 56 days, 4 = 112 days).</a:t>
          </a:r>
        </a:p>
        <a:p>
          <a:r>
            <a:rPr lang="en-IN" sz="1100"/>
            <a:t>    - Objective: The goal is to maximize total revenue by determining the optimal number of rentals `x[i, j, t]` for each equipment type, lease duration, and time period, while considering the price per day and lease duration.</a:t>
          </a:r>
        </a:p>
        <a:p>
          <a:r>
            <a:rPr lang="en-IN" sz="1100"/>
            <a:t>"""</a:t>
          </a:r>
        </a:p>
        <a:p>
          <a:endParaRPr lang="en-IN" sz="1100"/>
        </a:p>
        <a:p>
          <a:r>
            <a:rPr lang="en-IN" sz="1100"/>
            <a:t># Import necessary libraries</a:t>
          </a:r>
        </a:p>
        <a:p>
          <a:r>
            <a:rPr lang="en-IN" sz="1100"/>
            <a:t>import numpy as np  # NumPy is used for numerical operations (though not directly used in this script, it's often included for array handling)</a:t>
          </a:r>
        </a:p>
        <a:p>
          <a:r>
            <a:rPr lang="en-IN" sz="1100"/>
            <a:t>import pandas as pd  # Pandas is used for data manipulation and reading the Excel dataset</a:t>
          </a:r>
        </a:p>
        <a:p>
          <a:r>
            <a:rPr lang="en-IN" sz="1100"/>
            <a:t>import matplotlib.pyplot as plt # Matplotlib is used for creating visualizations</a:t>
          </a:r>
        </a:p>
        <a:p>
          <a:r>
            <a:rPr lang="en-IN" sz="1100"/>
            <a:t>import seaborn as sns # Seaborn is used for enhanced visualizations (e.g., bar plots)</a:t>
          </a:r>
        </a:p>
        <a:p>
          <a:r>
            <a:rPr lang="en-IN" sz="1100"/>
            <a:t>from pyomo.environ import *  # Pyomo is used for formulating and solving optimization models</a:t>
          </a:r>
        </a:p>
        <a:p>
          <a:endParaRPr lang="en-IN" sz="1100"/>
        </a:p>
        <a:p>
          <a:r>
            <a:rPr lang="en-IN" sz="1100"/>
            <a:t># Load Dataset from Excel File</a:t>
          </a:r>
        </a:p>
        <a:p>
          <a:r>
            <a:rPr lang="en-IN" sz="1100"/>
            <a:t># Define the name of the Excel file containing the dataset</a:t>
          </a:r>
        </a:p>
        <a:p>
          <a:r>
            <a:rPr lang="en-IN" sz="1100"/>
            <a:t>file_name = 'IB9EO0_GROUP_1.xlsx'</a:t>
          </a:r>
        </a:p>
        <a:p>
          <a:r>
            <a:rPr lang="en-IN" sz="1100"/>
            <a:t>df_data = pd.read_excel(file_name, sheet_name= 'BuildMax_Rentals_Dataset')  # Read the Excel file into a DataFrame</a:t>
          </a:r>
        </a:p>
        <a:p>
          <a:endParaRPr lang="en-IN" sz="1100"/>
        </a:p>
        <a:p>
          <a:r>
            <a:rPr lang="en-IN" sz="1100"/>
            <a:t># Define Model Parameters and Decision Variables</a:t>
          </a:r>
        </a:p>
        <a:p>
          <a:r>
            <a:rPr lang="en-IN" sz="1100"/>
            <a:t># Map equipment type codes to human-readable names for easier interpretation in the model</a:t>
          </a:r>
        </a:p>
        <a:p>
          <a:r>
            <a:rPr lang="en-IN" sz="1100"/>
            <a:t>equipment_names = {1: "Excavators", 2: "Cranes", 3: "Bulldozers"}</a:t>
          </a:r>
        </a:p>
        <a:p>
          <a:endParaRPr lang="en-IN" sz="1100"/>
        </a:p>
        <a:p>
          <a:r>
            <a:rPr lang="en-IN" sz="1100"/>
            <a:t># Define the time periods as a list from 1 to 52 (representing weeks of the year)</a:t>
          </a:r>
        </a:p>
        <a:p>
          <a:r>
            <a:rPr lang="en-IN" sz="1100"/>
            <a:t>time_periods = list(range(1, 53))</a:t>
          </a:r>
        </a:p>
        <a:p>
          <a:endParaRPr lang="en-IN" sz="1100"/>
        </a:p>
        <a:p>
          <a:r>
            <a:rPr lang="en-IN" sz="1100"/>
            <a:t># Dictionary representing the lease durations and their corresponding values</a:t>
          </a:r>
        </a:p>
        <a:p>
          <a:r>
            <a:rPr lang="en-IN" sz="1100"/>
            <a:t># The key represents the lease type (1 for 1 week, 2 for 4 weeks, etc.), </a:t>
          </a:r>
        </a:p>
        <a:p>
          <a:r>
            <a:rPr lang="en-IN" sz="1100"/>
            <a:t># and the value represents its duration in weeks.</a:t>
          </a:r>
        </a:p>
        <a:p>
          <a:r>
            <a:rPr lang="en-IN" sz="1100"/>
            <a:t>T_i = {1: 7, 2: 28, 3: 56, 4: 112}</a:t>
          </a:r>
        </a:p>
        <a:p>
          <a:endParaRPr lang="en-IN" sz="1100"/>
        </a:p>
        <a:p>
          <a:r>
            <a:rPr lang="en-IN" sz="1100"/>
            <a:t># Dictionary representing the lease durations and their corresponding values</a:t>
          </a:r>
        </a:p>
        <a:p>
          <a:r>
            <a:rPr lang="en-IN" sz="1100"/>
            <a:t>lease_durations = {1: 1, 2: 4, 3: 8, 4: 16}</a:t>
          </a:r>
        </a:p>
        <a:p>
          <a:endParaRPr lang="en-IN" sz="1100"/>
        </a:p>
        <a:p>
          <a:r>
            <a:rPr lang="en-IN" sz="1100"/>
            <a:t># Initial inventory for each equipment type (Excavators, Cranes, Bulldozers)</a:t>
          </a:r>
        </a:p>
        <a:p>
          <a:r>
            <a:rPr lang="en-IN" sz="1100"/>
            <a:t>initial_inventory = {</a:t>
          </a:r>
        </a:p>
        <a:p>
          <a:r>
            <a:rPr lang="en-IN" sz="1100"/>
            <a:t>    1: (df_data[f"Excavators - Start of Week Inventory"][0]),  # Excavators inventory</a:t>
          </a:r>
        </a:p>
        <a:p>
          <a:r>
            <a:rPr lang="en-IN" sz="1100"/>
            <a:t>    2: (df_data[f"Cranes - Start of Week Inventory"][0]),      # Cranes inventory</a:t>
          </a:r>
        </a:p>
        <a:p>
          <a:r>
            <a:rPr lang="en-IN" sz="1100"/>
            <a:t>    3: (df_data[f"Bulldozers - Start of Week Inventory"][0])    # Bulldozers inventory</a:t>
          </a:r>
        </a:p>
        <a:p>
          <a:r>
            <a:rPr lang="en-IN" sz="1100"/>
            <a:t>}</a:t>
          </a:r>
        </a:p>
        <a:p>
          <a:endParaRPr lang="en-IN" sz="1100"/>
        </a:p>
        <a:p>
          <a:r>
            <a:rPr lang="en-IN" sz="1100"/>
            <a:t># Extract Actual Revenue from the DataFrame for later comparison</a:t>
          </a:r>
        </a:p>
        <a:p>
          <a:r>
            <a:rPr lang="en-IN" sz="1100"/>
            <a:t>actual_revenue = df_data.iloc[0, -1]  # The actual revenue is stored in the first row, last column</a:t>
          </a:r>
        </a:p>
        <a:p>
          <a:endParaRPr lang="en-IN" sz="1100"/>
        </a:p>
        <a:p>
          <a:r>
            <a:rPr lang="en-IN" sz="1100"/>
            <a:t># Extract the actual revenue per equipment type (stored in subsequent rows for each equipment)</a:t>
          </a:r>
        </a:p>
        <a:p>
          <a:r>
            <a:rPr lang="en-IN" sz="1100"/>
            <a:t>actual_revenue_per_equipment = {j: df_data.iloc[1 + j, -1] for j in equipment_names.keys()}</a:t>
          </a:r>
        </a:p>
        <a:p>
          <a:endParaRPr lang="en-IN" sz="1100"/>
        </a:p>
        <a:p>
          <a:r>
            <a:rPr lang="en-IN" sz="1100"/>
            <a:t># Extract the purchase price for each equipment type</a:t>
          </a:r>
        </a:p>
        <a:p>
          <a:r>
            <a:rPr lang="en-IN" sz="1100"/>
            <a:t>purchase_price = {j: df_data.iloc[5 + j, -1] for j in equipment_names.keys()}</a:t>
          </a:r>
        </a:p>
        <a:p>
          <a:endParaRPr lang="en-IN" sz="1100"/>
        </a:p>
        <a:p>
          <a:r>
            <a:rPr lang="en-IN" sz="1100"/>
            <a:t># Define Pyomo Model</a:t>
          </a:r>
        </a:p>
        <a:p>
          <a:r>
            <a:rPr lang="en-IN" sz="1100"/>
            <a:t>model = ConcreteModel()  # Instantiate a concrete optimization model</a:t>
          </a:r>
        </a:p>
        <a:p>
          <a:endParaRPr lang="en-IN" sz="1100"/>
        </a:p>
        <a:p>
          <a:r>
            <a:rPr lang="en-IN" sz="1100"/>
            <a:t># Decision Variables:</a:t>
          </a:r>
        </a:p>
        <a:p>
          <a:r>
            <a:rPr lang="en-IN" sz="1100"/>
            <a:t># model.x[i, j, t] represents the number of rentals for lease type i, equipment j, and week t</a:t>
          </a:r>
        </a:p>
        <a:p>
          <a:r>
            <a:rPr lang="en-IN" sz="1100"/>
            <a:t>model.x = Var(lease_durations.keys(), equipment_names.keys(), time_periods, domain=NonNegativeIntegers)</a:t>
          </a:r>
        </a:p>
        <a:p>
          <a:endParaRPr lang="en-IN" sz="1100"/>
        </a:p>
        <a:p>
          <a:r>
            <a:rPr lang="en-IN" sz="1100"/>
            <a:t>model.inventory = Var(equipment_names.keys(), time_periods, domain=NonNegativeIntegers)</a:t>
          </a:r>
        </a:p>
        <a:p>
          <a:endParaRPr lang="en-IN" sz="1100"/>
        </a:p>
        <a:p>
          <a:r>
            <a:rPr lang="en-IN" sz="1100"/>
            <a:t># Price per equipment per duration and time period (P_ijt)</a:t>
          </a:r>
        </a:p>
        <a:p>
          <a:r>
            <a:rPr lang="en-IN" sz="1100"/>
            <a:t>P_ijt = {}  # Initialize a dictionary to store price data</a:t>
          </a:r>
        </a:p>
        <a:p>
          <a:endParaRPr lang="en-IN" sz="1100"/>
        </a:p>
        <a:p>
          <a:r>
            <a:rPr lang="en-IN" sz="1100"/>
            <a:t># Loop over time periods, equipment types, and lease durations to populate the price matrix</a:t>
          </a:r>
        </a:p>
        <a:p>
          <a:r>
            <a:rPr lang="en-IN" sz="1100"/>
            <a:t>for t in time_periods:</a:t>
          </a:r>
        </a:p>
        <a:p>
          <a:r>
            <a:rPr lang="en-IN" sz="1100"/>
            <a:t>    for j, eq_type in equipment_names.items():</a:t>
          </a:r>
        </a:p>
        <a:p>
          <a:r>
            <a:rPr lang="en-IN" sz="1100"/>
            <a:t>        for i, duration in enumerate(["1-week", "4-weeks", "8-weeks", "16-weeks"], start=1):</a:t>
          </a:r>
        </a:p>
        <a:p>
          <a:r>
            <a:rPr lang="en-IN" sz="1100"/>
            <a:t>            # Extract price per day for the corresponding equipment and lease duration for each week</a:t>
          </a:r>
        </a:p>
        <a:p>
          <a:r>
            <a:rPr lang="en-IN" sz="1100"/>
            <a:t>            P_ijt[i, j, t] = df_data[f"{eq_type} - {duration} Price per day (£)"][t - 1]</a:t>
          </a:r>
        </a:p>
        <a:p>
          <a:endParaRPr lang="en-IN" sz="1100"/>
        </a:p>
        <a:p>
          <a:r>
            <a:rPr lang="en-IN" sz="1100"/>
            <a:t># Demand data (D_ijt) - Represents the demand for each equipment type and lease duration</a:t>
          </a:r>
        </a:p>
        <a:p>
          <a:r>
            <a:rPr lang="en-IN" sz="1100"/>
            <a:t>D_ijt = {}  # Initialize a dictionary to store demand data</a:t>
          </a:r>
        </a:p>
        <a:p>
          <a:endParaRPr lang="en-IN" sz="1100"/>
        </a:p>
        <a:p>
          <a:r>
            <a:rPr lang="en-IN" sz="1100"/>
            <a:t>for t in time_periods:</a:t>
          </a:r>
        </a:p>
        <a:p>
          <a:r>
            <a:rPr lang="en-IN" sz="1100"/>
            <a:t>    for j, eq_type in equipment_names.items():</a:t>
          </a:r>
        </a:p>
        <a:p>
          <a:r>
            <a:rPr lang="en-IN" sz="1100"/>
            <a:t>        for i, duration in enumerate(["1-week", "4-weeks", "8-weeks", "16-weeks"], start=1):</a:t>
          </a:r>
        </a:p>
        <a:p>
          <a:r>
            <a:rPr lang="en-IN" sz="1100"/>
            <a:t>            # Extract demand data for each equipment type and lease duration</a:t>
          </a:r>
        </a:p>
        <a:p>
          <a:r>
            <a:rPr lang="en-IN" sz="1100"/>
            <a:t>            D_ijt[i, j, t] = df_data[f"{eq_type} - {duration} Demand (units)"][t-1]</a:t>
          </a:r>
        </a:p>
        <a:p>
          <a:r>
            <a:rPr lang="en-IN" sz="1100"/>
            <a:t>            </a:t>
          </a:r>
        </a:p>
        <a:p>
          <a:endParaRPr lang="en-IN" sz="1100"/>
        </a:p>
        <a:p>
          <a:r>
            <a:rPr lang="en-IN" sz="1100"/>
            <a:t># Define Objective Function</a:t>
          </a:r>
        </a:p>
        <a:p>
          <a:r>
            <a:rPr lang="en-IN" sz="1100"/>
            <a:t># The objective is to maximize rental revenue, which is the price per unit (P_ijt) * number of rentals (model.x[i, j, t]) * number of days rented (T_i[i])</a:t>
          </a:r>
        </a:p>
        <a:p>
          <a:r>
            <a:rPr lang="en-IN" sz="1100"/>
            <a:t>def revenue_objective(model):</a:t>
          </a:r>
        </a:p>
        <a:p>
          <a:r>
            <a:rPr lang="en-IN" sz="1100"/>
            <a:t>    return sum(</a:t>
          </a:r>
        </a:p>
        <a:p>
          <a:r>
            <a:rPr lang="en-IN" sz="1100"/>
            <a:t>        P_ijt[i, j, t] * model.x[i, j, t] * T_i[i] for i in lease_durations for j in equipment_names.keys() for t in time_periods)</a:t>
          </a:r>
        </a:p>
        <a:p>
          <a:endParaRPr lang="en-IN" sz="1100"/>
        </a:p>
        <a:p>
          <a:r>
            <a:rPr lang="en-IN" sz="1100"/>
            <a:t># Set the objective function to maximize revenue</a:t>
          </a:r>
        </a:p>
        <a:p>
          <a:r>
            <a:rPr lang="en-IN" sz="1100"/>
            <a:t>model.obj = Objective(rule=revenue_objective, sense=maximize)</a:t>
          </a:r>
        </a:p>
        <a:p>
          <a:endParaRPr lang="en-IN" sz="1100"/>
        </a:p>
        <a:p>
          <a:endParaRPr lang="en-IN" sz="1100"/>
        </a:p>
        <a:p>
          <a:r>
            <a:rPr lang="en-IN" sz="1100"/>
            <a:t># Define Constraints</a:t>
          </a:r>
        </a:p>
        <a:p>
          <a:endParaRPr lang="en-IN" sz="1100"/>
        </a:p>
        <a:p>
          <a:r>
            <a:rPr lang="en-IN" sz="1100"/>
            <a:t># Demand Constraint: The number of rentals cannot exceed the demand for each equipment type and lease duration</a:t>
          </a:r>
        </a:p>
        <a:p>
          <a:r>
            <a:rPr lang="en-IN" sz="1100"/>
            <a:t>def demand_constraint_rule(model, i, j, t):</a:t>
          </a:r>
        </a:p>
        <a:p>
          <a:r>
            <a:rPr lang="en-IN" sz="1100"/>
            <a:t>    return model.x[i, j, t] &lt;= D_ijt[i, j, t]</a:t>
          </a:r>
        </a:p>
        <a:p>
          <a:endParaRPr lang="en-IN" sz="1100"/>
        </a:p>
        <a:p>
          <a:r>
            <a:rPr lang="en-IN" sz="1100"/>
            <a:t>model.demand_constraints = Constraint(lease_durations.keys(), equipment_names.keys(), time_periods, rule=demand_constraint_rule)</a:t>
          </a:r>
        </a:p>
        <a:p>
          <a:endParaRPr lang="en-IN" sz="1100"/>
        </a:p>
        <a:p>
          <a:endParaRPr lang="en-IN" sz="1100"/>
        </a:p>
        <a:p>
          <a:r>
            <a:rPr lang="en-IN" sz="1100"/>
            <a:t># Dynamic Inventory Update Constraint: Update inventory based on previous rentals</a:t>
          </a:r>
        </a:p>
        <a:p>
          <a:r>
            <a:rPr lang="en-IN" sz="1100"/>
            <a:t># Define the inventory update constraint rule for the model</a:t>
          </a:r>
        </a:p>
        <a:p>
          <a:r>
            <a:rPr lang="en-IN" sz="1100"/>
            <a:t># This constraint updates the inventory based on leased equipment for each equipment type (j) and time period (t)</a:t>
          </a:r>
        </a:p>
        <a:p>
          <a:r>
            <a:rPr lang="en-IN" sz="1100"/>
            <a:t># For t = 1, it sets the inventory to the initial value.</a:t>
          </a:r>
        </a:p>
        <a:p>
          <a:r>
            <a:rPr lang="en-IN" sz="1100"/>
            <a:t># For subsequent periods, it adjusts the inventory based on leased equipment and previous period's inventory.</a:t>
          </a:r>
        </a:p>
        <a:p>
          <a:r>
            <a:rPr lang="en-IN" sz="1100"/>
            <a:t>def inventory_update_constraint_rule(model, j, t):</a:t>
          </a:r>
        </a:p>
        <a:p>
          <a:r>
            <a:rPr lang="en-IN" sz="1100"/>
            <a:t>    if t == 1:</a:t>
          </a:r>
        </a:p>
        <a:p>
          <a:r>
            <a:rPr lang="en-IN" sz="1100"/>
            <a:t>        # For the first time period, set inventory to the initial value</a:t>
          </a:r>
        </a:p>
        <a:p>
          <a:r>
            <a:rPr lang="en-IN" sz="1100"/>
            <a:t>        return model.inventory[j, t] == initial_inventory[j]</a:t>
          </a:r>
        </a:p>
        <a:p>
          <a:r>
            <a:rPr lang="en-IN" sz="1100"/>
            <a:t>    else:</a:t>
          </a:r>
        </a:p>
        <a:p>
          <a:r>
            <a:rPr lang="en-IN" sz="1100"/>
            <a:t>        # For other periods, update the inventory based on leases and previous inventory</a:t>
          </a:r>
        </a:p>
        <a:p>
          <a:r>
            <a:rPr lang="en-IN" sz="1100"/>
            <a:t>        return (model.inventory[j, t] == model.inventory[j, t - 1]  </a:t>
          </a:r>
        </a:p>
        <a:p>
          <a:r>
            <a:rPr lang="en-IN" sz="1100"/>
            <a:t>            + sum((model.x[i, j, t - lease_durations[i]] if (t - lease_durations[i]) &gt;= 1 else 0 ) for i in lease_durations.keys()) </a:t>
          </a:r>
        </a:p>
        <a:p>
          <a:r>
            <a:rPr lang="en-IN" sz="1100"/>
            <a:t>            - sum(model.x[i, j, t-1] for i in lease_durations.keys()) )</a:t>
          </a:r>
        </a:p>
        <a:p>
          <a:r>
            <a:rPr lang="en-IN" sz="1100"/>
            <a:t>    </a:t>
          </a:r>
        </a:p>
        <a:p>
          <a:r>
            <a:rPr lang="en-IN" sz="1100"/>
            <a:t># Apply the constraint to the model for all equipment types (j) and time periods (t)</a:t>
          </a:r>
        </a:p>
        <a:p>
          <a:r>
            <a:rPr lang="en-IN" sz="1100"/>
            <a:t>model.inventory_update_constraint = Constraint(equipment_names.keys(), time_periods, rule=inventory_update_constraint_rule)</a:t>
          </a:r>
        </a:p>
        <a:p>
          <a:endParaRPr lang="en-IN" sz="1100"/>
        </a:p>
        <a:p>
          <a:endParaRPr lang="en-IN" sz="1100"/>
        </a:p>
        <a:p>
          <a:r>
            <a:rPr lang="en-IN" sz="1100"/>
            <a:t># Define the inventory constraint rule for the model</a:t>
          </a:r>
        </a:p>
        <a:p>
          <a:r>
            <a:rPr lang="en-IN" sz="1100"/>
            <a:t># This constraint ensures that the total leased equipment for each equipment type (j) </a:t>
          </a:r>
        </a:p>
        <a:p>
          <a:r>
            <a:rPr lang="en-IN" sz="1100"/>
            <a:t># and time period (t) does not exceed the available inventory for that equipment at that time</a:t>
          </a:r>
        </a:p>
        <a:p>
          <a:r>
            <a:rPr lang="en-IN" sz="1100"/>
            <a:t>def inventory_constraint_rule(model, j, t):</a:t>
          </a:r>
        </a:p>
        <a:p>
          <a:r>
            <a:rPr lang="en-IN" sz="1100"/>
            <a:t>    return sum(model.x[i, j, t] for i in lease_durations.keys()) &lt;= model.inventory[j,t]</a:t>
          </a:r>
        </a:p>
        <a:p>
          <a:endParaRPr lang="en-IN" sz="1100"/>
        </a:p>
        <a:p>
          <a:r>
            <a:rPr lang="en-IN" sz="1100"/>
            <a:t># Apply the constraint to the model for all equipment types (j) and time periods (t)</a:t>
          </a:r>
        </a:p>
        <a:p>
          <a:r>
            <a:rPr lang="en-IN" sz="1100"/>
            <a:t>model.inventory_constraint = Constraint(equipment_names.keys(), time_periods, rule=inventory_constraint_rule)</a:t>
          </a:r>
        </a:p>
        <a:p>
          <a:endParaRPr lang="en-IN" sz="1100"/>
        </a:p>
        <a:p>
          <a:endParaRPr lang="en-IN" sz="1100"/>
        </a:p>
        <a:p>
          <a:r>
            <a:rPr lang="en-IN" sz="1100"/>
            <a:t># Solve the Model Using a Solver</a:t>
          </a:r>
        </a:p>
        <a:p>
          <a:r>
            <a:rPr lang="en-IN" sz="1100"/>
            <a:t>solver = SolverFactory('glpk')  # Choose the solver (GLPK is a common open-source solver)</a:t>
          </a:r>
        </a:p>
        <a:p>
          <a:r>
            <a:rPr lang="en-IN" sz="1100"/>
            <a:t>results = solver.solve(model, tee=False)  # Solve the model without printing intermediate output</a:t>
          </a:r>
        </a:p>
        <a:p>
          <a:endParaRPr lang="en-IN" sz="1100"/>
        </a:p>
        <a:p>
          <a:r>
            <a:rPr lang="en-IN" sz="1100"/>
            <a:t># Check if the solver was successful and load the solution if optimal</a:t>
          </a:r>
        </a:p>
        <a:p>
          <a:r>
            <a:rPr lang="en-IN" sz="1100"/>
            <a:t>if (results.solver.status == SolverStatus.ok) and (results.solver.termination_condition == TerminationCondition.optimal):</a:t>
          </a:r>
        </a:p>
        <a:p>
          <a:r>
            <a:rPr lang="en-IN" sz="1100"/>
            <a:t>    model.solutions.load_from(results)  # Load the optimal solution</a:t>
          </a:r>
        </a:p>
        <a:p>
          <a:r>
            <a:rPr lang="en-IN" sz="1100"/>
            <a:t>else:</a:t>
          </a:r>
        </a:p>
        <a:p>
          <a:r>
            <a:rPr lang="en-IN" sz="1100"/>
            <a:t>    print("Solve failed.")  # If the solver doesn't find an optimal solution, print a message</a:t>
          </a:r>
        </a:p>
        <a:p>
          <a:endParaRPr lang="en-IN" sz="1100"/>
        </a:p>
        <a:p>
          <a:r>
            <a:rPr lang="en-IN" sz="1100"/>
            <a:t># Calculate Results</a:t>
          </a:r>
        </a:p>
        <a:p>
          <a:endParaRPr lang="en-IN" sz="1100"/>
        </a:p>
        <a:p>
          <a:r>
            <a:rPr lang="en-IN" sz="1100"/>
            <a:t># Initialize dictionaries to store fleet utilization and unused inventory revenue loss</a:t>
          </a:r>
        </a:p>
        <a:p>
          <a:r>
            <a:rPr lang="en-IN" sz="1100"/>
            <a:t>original_fleet_utilization = {}  </a:t>
          </a:r>
        </a:p>
        <a:p>
          <a:r>
            <a:rPr lang="en-IN" sz="1100"/>
            <a:t>unused_inventory_revenue_loss = {}</a:t>
          </a:r>
        </a:p>
        <a:p>
          <a:endParaRPr lang="en-IN" sz="1100"/>
        </a:p>
        <a:p>
          <a:r>
            <a:rPr lang="en-IN" sz="1100"/>
            <a:t># Loop through each equipment type (j) and its name (eq_type)</a:t>
          </a:r>
        </a:p>
        <a:p>
          <a:r>
            <a:rPr lang="en-IN" sz="1100"/>
            <a:t>for j, eq_type in equipment_names.items():</a:t>
          </a:r>
        </a:p>
        <a:p>
          <a:r>
            <a:rPr lang="en-IN" sz="1100"/>
            <a:t>    weekly_utilization = []  # List to store weekly utilization percentages</a:t>
          </a:r>
        </a:p>
        <a:p>
          <a:r>
            <a:rPr lang="en-IN" sz="1100"/>
            <a:t>    total_revenue_loss = 0  # Variable to track total revenue loss due to unused inventory</a:t>
          </a:r>
        </a:p>
        <a:p>
          <a:endParaRPr lang="en-IN" sz="1100"/>
        </a:p>
        <a:p>
          <a:r>
            <a:rPr lang="en-IN" sz="1100"/>
            <a:t>    # Loop through each time period (t)</a:t>
          </a:r>
        </a:p>
        <a:p>
          <a:r>
            <a:rPr lang="en-IN" sz="1100"/>
            <a:t>    for t in time_periods:</a:t>
          </a:r>
        </a:p>
        <a:p>
          <a:r>
            <a:rPr lang="en-IN" sz="1100"/>
            <a:t>        # Get the inventory at the start of the week for the current equipment type</a:t>
          </a:r>
        </a:p>
        <a:p>
          <a:r>
            <a:rPr lang="en-IN" sz="1100"/>
            <a:t>        inventory = df_data[f"{eq_type} - Start of Week Inventory"][t - 1]</a:t>
          </a:r>
        </a:p>
        <a:p>
          <a:r>
            <a:rPr lang="en-IN" sz="1100"/>
            <a:t>        total_weekly_rentals = 0  # Variable to accumulate total rentals for the week</a:t>
          </a:r>
        </a:p>
        <a:p>
          <a:endParaRPr lang="en-IN" sz="1100"/>
        </a:p>
        <a:p>
          <a:r>
            <a:rPr lang="en-IN" sz="1100"/>
            <a:t>        # Loop through each lease duration (i)</a:t>
          </a:r>
        </a:p>
        <a:p>
          <a:r>
            <a:rPr lang="en-IN" sz="1100"/>
            <a:t>        for i in lease_durations:</a:t>
          </a:r>
        </a:p>
        <a:p>
          <a:r>
            <a:rPr lang="en-IN" sz="1100"/>
            <a:t>            # Map lease duration to a string (e.g., "1-week", "4-weeks")</a:t>
          </a:r>
        </a:p>
        <a:p>
          <a:r>
            <a:rPr lang="en-IN" sz="1100"/>
            <a:t>            duration_str = {1: "1-week", 2: "4-weeks", 3: "8-weeks", 4: "16-weeks"}[i]</a:t>
          </a:r>
        </a:p>
        <a:p>
          <a:r>
            <a:rPr lang="en-IN" sz="1100"/>
            <a:t>            accepted_col = f"{eq_type} - {duration_str} Accepted (units)"  # Column for accepted rentals</a:t>
          </a:r>
        </a:p>
        <a:p>
          <a:r>
            <a:rPr lang="en-IN" sz="1100"/>
            <a:t>            price_col = f"{eq_type} - {duration_str} Price per day (£)"  # Column for price per day</a:t>
          </a:r>
        </a:p>
        <a:p>
          <a:endParaRPr lang="en-IN" sz="1100"/>
        </a:p>
        <a:p>
          <a:r>
            <a:rPr lang="en-IN" sz="1100"/>
            <a:t>            # Get rentals and price directly (will raise KeyError if missing)</a:t>
          </a:r>
        </a:p>
        <a:p>
          <a:r>
            <a:rPr lang="en-IN" sz="1100"/>
            <a:t>            rentals = df_data[accepted_col][t - 1]</a:t>
          </a:r>
        </a:p>
        <a:p>
          <a:r>
            <a:rPr lang="en-IN" sz="1100"/>
            <a:t>            total_weekly_rentals += rentals  # Add rentals to total weekly rentals</a:t>
          </a:r>
        </a:p>
        <a:p>
          <a:endParaRPr lang="en-IN" sz="1100"/>
        </a:p>
        <a:p>
          <a:r>
            <a:rPr lang="en-IN" sz="1100"/>
            <a:t>            price = df_data[price_col][t - 1]</a:t>
          </a:r>
        </a:p>
        <a:p>
          <a:endParaRPr lang="en-IN" sz="1100"/>
        </a:p>
        <a:p>
          <a:r>
            <a:rPr lang="en-IN" sz="1100"/>
            <a:t>            # Calculate unused inventory</a:t>
          </a:r>
        </a:p>
        <a:p>
          <a:r>
            <a:rPr lang="en-IN" sz="1100"/>
            <a:t>            unused_inventory = inventory - rentals</a:t>
          </a:r>
        </a:p>
        <a:p>
          <a:r>
            <a:rPr lang="en-IN" sz="1100"/>
            <a:t>            if unused_inventory &gt; 0:</a:t>
          </a:r>
        </a:p>
        <a:p>
          <a:r>
            <a:rPr lang="en-IN" sz="1100"/>
            <a:t>                days = T_i[i]  # Get the number of days for the lease duration</a:t>
          </a:r>
        </a:p>
        <a:p>
          <a:r>
            <a:rPr lang="en-IN" sz="1100"/>
            <a:t>                revenue_loss = unused_inventory * price * days  # Calculate revenue loss due to unused inventory</a:t>
          </a:r>
        </a:p>
        <a:p>
          <a:r>
            <a:rPr lang="en-IN" sz="1100"/>
            <a:t>                total_revenue_loss += revenue_loss  # Add to total revenue loss</a:t>
          </a:r>
        </a:p>
        <a:p>
          <a:endParaRPr lang="en-IN" sz="1100"/>
        </a:p>
        <a:p>
          <a:r>
            <a:rPr lang="en-IN" sz="1100"/>
            <a:t>        # Compute utilization for the week (percentage of rentals to inventory)</a:t>
          </a:r>
        </a:p>
        <a:p>
          <a:r>
            <a:rPr lang="en-IN" sz="1100"/>
            <a:t>        if inventory &gt; 0:</a:t>
          </a:r>
        </a:p>
        <a:p>
          <a:r>
            <a:rPr lang="en-IN" sz="1100"/>
            <a:t>            utilization = (total_weekly_rentals / inventory) * 100</a:t>
          </a:r>
        </a:p>
        <a:p>
          <a:r>
            <a:rPr lang="en-IN" sz="1100"/>
            <a:t>        else:</a:t>
          </a:r>
        </a:p>
        <a:p>
          <a:r>
            <a:rPr lang="en-IN" sz="1100"/>
            <a:t>            utilization = 0  # If no inventory, utilization is 0</a:t>
          </a:r>
        </a:p>
        <a:p>
          <a:r>
            <a:rPr lang="en-IN" sz="1100"/>
            <a:t>        weekly_utilization.append(utilization)</a:t>
          </a:r>
        </a:p>
        <a:p>
          <a:endParaRPr lang="en-IN" sz="1100"/>
        </a:p>
        <a:p>
          <a:r>
            <a:rPr lang="en-IN" sz="1100"/>
            <a:t>    # Compute 52-week average utilization</a:t>
          </a:r>
        </a:p>
        <a:p>
          <a:r>
            <a:rPr lang="en-IN" sz="1100"/>
            <a:t>    average_utilization = sum(weekly_utilization) / len(weekly_utilization) if weekly_utilization else 0</a:t>
          </a:r>
        </a:p>
        <a:p>
          <a:r>
            <a:rPr lang="en-IN" sz="1100"/>
            <a:t>    original_fleet_utilization[eq_type] = average_utilization  # Store average utilization</a:t>
          </a:r>
        </a:p>
        <a:p>
          <a:r>
            <a:rPr lang="en-IN" sz="1100"/>
            <a:t>    unused_inventory_revenue_loss[eq_type] = total_revenue_loss  # Store total revenue loss for unused inventory</a:t>
          </a:r>
        </a:p>
        <a:p>
          <a:endParaRPr lang="en-IN" sz="1100"/>
        </a:p>
        <a:p>
          <a:endParaRPr lang="en-IN" sz="1100"/>
        </a:p>
        <a:p>
          <a:endParaRPr lang="en-IN" sz="1100"/>
        </a:p>
        <a:p>
          <a:r>
            <a:rPr lang="en-IN" sz="1100"/>
            <a:t># Calculate the total optimized revenue for each equipment type using the decision variables</a:t>
          </a:r>
        </a:p>
        <a:p>
          <a:r>
            <a:rPr lang="en-IN" sz="1100"/>
            <a:t>optimized_revenue_per_equipment = {</a:t>
          </a:r>
        </a:p>
        <a:p>
          <a:r>
            <a:rPr lang="en-IN" sz="1100"/>
            <a:t>    j: sum(P_ijt[i, j, t] * value(model.x[i, j, t]) * T_i[i] for i in lease_durations.keys() for t in time_periods)</a:t>
          </a:r>
        </a:p>
        <a:p>
          <a:r>
            <a:rPr lang="en-IN" sz="1100"/>
            <a:t>    for j in equipment_names.keys()</a:t>
          </a:r>
        </a:p>
        <a:p>
          <a:r>
            <a:rPr lang="en-IN" sz="1100"/>
            <a:t>}</a:t>
          </a:r>
        </a:p>
        <a:p>
          <a:endParaRPr lang="en-IN" sz="1100"/>
        </a:p>
        <a:p>
          <a:r>
            <a:rPr lang="en-IN" sz="1100"/>
            <a:t># Revenue Improvement per Equipment Type: Compare the optimized revenue with the actual revenue to see the improvement</a:t>
          </a:r>
        </a:p>
        <a:p>
          <a:r>
            <a:rPr lang="en-IN" sz="1100"/>
            <a:t>revenue_improvement_per_equipment = {</a:t>
          </a:r>
        </a:p>
        <a:p>
          <a:r>
            <a:rPr lang="en-IN" sz="1100"/>
            <a:t>    j: optimized_revenue_per_equipment[j] - actual_revenue_per_equipment[j]</a:t>
          </a:r>
        </a:p>
        <a:p>
          <a:r>
            <a:rPr lang="en-IN" sz="1100"/>
            <a:t>    for j in equipment_names.keys()</a:t>
          </a:r>
        </a:p>
        <a:p>
          <a:r>
            <a:rPr lang="en-IN" sz="1100"/>
            <a:t>}</a:t>
          </a:r>
        </a:p>
        <a:p>
          <a:endParaRPr lang="en-IN" sz="1100"/>
        </a:p>
        <a:p>
          <a:r>
            <a:rPr lang="en-IN" sz="1100"/>
            <a:t># Revenue Improvement rate per Equipment Type: Calculate the percentage improvement in revenue per equipment type</a:t>
          </a:r>
        </a:p>
        <a:p>
          <a:r>
            <a:rPr lang="en-IN" sz="1100"/>
            <a:t>revenue_improvement_rate_per_equipment = {</a:t>
          </a:r>
        </a:p>
        <a:p>
          <a:r>
            <a:rPr lang="en-IN" sz="1100"/>
            <a:t>    j: (revenue_improvement_per_equipment[j] / actual_revenue_per_equipment[j]) * 100</a:t>
          </a:r>
        </a:p>
        <a:p>
          <a:r>
            <a:rPr lang="en-IN" sz="1100"/>
            <a:t>    for j in equipment_names.keys()</a:t>
          </a:r>
        </a:p>
        <a:p>
          <a:r>
            <a:rPr lang="en-IN" sz="1100"/>
            <a:t>}</a:t>
          </a:r>
        </a:p>
        <a:p>
          <a:endParaRPr lang="en-IN" sz="1100"/>
        </a:p>
        <a:p>
          <a:r>
            <a:rPr lang="en-IN" sz="1100"/>
            <a:t># Actual ROI(Return on Investment) per Equipment Type: Calculate the Return on Investment for each equipment type</a:t>
          </a:r>
        </a:p>
        <a:p>
          <a:r>
            <a:rPr lang="en-IN" sz="1100"/>
            <a:t>actual_roi_per_equipment = {</a:t>
          </a:r>
        </a:p>
        <a:p>
          <a:r>
            <a:rPr lang="en-IN" sz="1100"/>
            <a:t>    j: ((actual_revenue_per_equipment[j] - purchase_price[j] * initial_inventory[j]) / (purchase_price[j] * initial_inventory[j])) * 100</a:t>
          </a:r>
        </a:p>
        <a:p>
          <a:r>
            <a:rPr lang="en-IN" sz="1100"/>
            <a:t>    for j in equipment_names.keys()</a:t>
          </a:r>
        </a:p>
        <a:p>
          <a:r>
            <a:rPr lang="en-IN" sz="1100"/>
            <a:t>}</a:t>
          </a:r>
        </a:p>
        <a:p>
          <a:endParaRPr lang="en-IN" sz="1100"/>
        </a:p>
        <a:p>
          <a:r>
            <a:rPr lang="en-IN" sz="1100"/>
            <a:t># Optimised ROI(Return on Investment) per equipment type: Calculate the Return on Investment for each equipment type</a:t>
          </a:r>
        </a:p>
        <a:p>
          <a:r>
            <a:rPr lang="en-IN" sz="1100"/>
            <a:t>optimized_roi_per_equipment = {</a:t>
          </a:r>
        </a:p>
        <a:p>
          <a:r>
            <a:rPr lang="en-IN" sz="1100"/>
            <a:t>    j: ((optimized_revenue_per_equipment[j] - purchase_price[j] * initial_inventory[j]) / (purchase_price[j] * initial_inventory[j])) * 100</a:t>
          </a:r>
        </a:p>
        <a:p>
          <a:r>
            <a:rPr lang="en-IN" sz="1100"/>
            <a:t>    for j in equipment_names.keys()</a:t>
          </a:r>
        </a:p>
        <a:p>
          <a:r>
            <a:rPr lang="en-IN" sz="1100"/>
            <a:t>}</a:t>
          </a:r>
        </a:p>
        <a:p>
          <a:endParaRPr lang="en-IN" sz="1100"/>
        </a:p>
        <a:p>
          <a:endParaRPr lang="en-IN" sz="1100"/>
        </a:p>
        <a:p>
          <a:r>
            <a:rPr lang="en-IN" sz="1100"/>
            <a:t># Return On Investment improvement rate per equipment type: Calculate the percentage improvement in revenue per equipment type</a:t>
          </a:r>
        </a:p>
        <a:p>
          <a:r>
            <a:rPr lang="en-IN" sz="1100"/>
            <a:t>overall_roi_per_equipment = {</a:t>
          </a:r>
        </a:p>
        <a:p>
          <a:r>
            <a:rPr lang="en-IN" sz="1100"/>
            <a:t>    j: ((optimized_roi_per_equipment[j] - actual_roi_per_equipment[j]) / actual_roi_per_equipment[j]) * 100</a:t>
          </a:r>
        </a:p>
        <a:p>
          <a:r>
            <a:rPr lang="en-IN" sz="1100"/>
            <a:t>    for j in equipment_names.keys()</a:t>
          </a:r>
        </a:p>
        <a:p>
          <a:r>
            <a:rPr lang="en-IN" sz="1100"/>
            <a:t>}</a:t>
          </a:r>
        </a:p>
        <a:p>
          <a:endParaRPr lang="en-IN" sz="1100"/>
        </a:p>
        <a:p>
          <a:r>
            <a:rPr lang="en-IN" sz="1100"/>
            <a:t># Overall ROI: The total improvement in revenue divided by the actual revenue</a:t>
          </a:r>
        </a:p>
        <a:p>
          <a:r>
            <a:rPr lang="en-IN" sz="1100"/>
            <a:t># Compute total initial investment cost</a:t>
          </a:r>
        </a:p>
        <a:p>
          <a:r>
            <a:rPr lang="en-IN" sz="1100"/>
            <a:t>total_initial_investment = sum(purchase_price[j] * initial_inventory[j] for j in equipment_names)</a:t>
          </a:r>
        </a:p>
        <a:p>
          <a:endParaRPr lang="en-IN" sz="1100"/>
        </a:p>
        <a:p>
          <a:r>
            <a:rPr lang="en-IN" sz="1100"/>
            <a:t># Calculate the total optimized revenue</a:t>
          </a:r>
        </a:p>
        <a:p>
          <a:r>
            <a:rPr lang="en-IN" sz="1100"/>
            <a:t>optimized_revenue = value(model.obj)</a:t>
          </a:r>
        </a:p>
        <a:p>
          <a:endParaRPr lang="en-IN" sz="1100"/>
        </a:p>
        <a:p>
          <a:r>
            <a:rPr lang="en-IN" sz="1100"/>
            <a:t># Revenue Improvement rate per Equipment Type: Calculate the percentage improvement in revenue per equipment type</a:t>
          </a:r>
        </a:p>
        <a:p>
          <a:r>
            <a:rPr lang="en-IN" sz="1100"/>
            <a:t>revenue_improvement_rate = (optimized_revenue - actual_revenue) / actual_revenue * 100</a:t>
          </a:r>
        </a:p>
        <a:p>
          <a:endParaRPr lang="en-IN" sz="1100"/>
        </a:p>
        <a:p>
          <a:r>
            <a:rPr lang="en-IN" sz="1100"/>
            <a:t># Calculate ROI metrics</a:t>
          </a:r>
        </a:p>
        <a:p>
          <a:r>
            <a:rPr lang="en-IN" sz="1100"/>
            <a:t>roi_actual = ((actual_revenue - total_initial_investment) / total_initial_investment) * 100</a:t>
          </a:r>
        </a:p>
        <a:p>
          <a:r>
            <a:rPr lang="en-IN" sz="1100"/>
            <a:t>roi_optimized = ((optimized_revenue - total_initial_investment) / total_initial_investment) * 100</a:t>
          </a:r>
        </a:p>
        <a:p>
          <a:endParaRPr lang="en-IN" sz="1100"/>
        </a:p>
        <a:p>
          <a:r>
            <a:rPr lang="en-IN" sz="1100"/>
            <a:t>overall_roi_change = (roi_optimized - roi_actual) / roi_actual * 100  # ROI improvement percentage</a:t>
          </a:r>
        </a:p>
        <a:p>
          <a:endParaRPr lang="en-IN" sz="1100"/>
        </a:p>
        <a:p>
          <a:endParaRPr lang="en-IN" sz="1100"/>
        </a:p>
        <a:p>
          <a:r>
            <a:rPr lang="en-IN" sz="1100"/>
            <a:t># Fleet Utilization: The ratio of rentals to available inventory</a:t>
          </a:r>
        </a:p>
        <a:p>
          <a:r>
            <a:rPr lang="en-IN" sz="1100"/>
            <a:t>fleet_utilization = {</a:t>
          </a:r>
        </a:p>
        <a:p>
          <a:r>
            <a:rPr lang="en-IN" sz="1100"/>
            <a:t>    equipment_names[j]: sum(</a:t>
          </a:r>
        </a:p>
        <a:p>
          <a:r>
            <a:rPr lang="en-IN" sz="1100"/>
            <a:t>        (sum(value(model.x[i, j, t]) for i in lease_durations) / value(model.inventory[j, t])) </a:t>
          </a:r>
        </a:p>
        <a:p>
          <a:r>
            <a:rPr lang="en-IN" sz="1100"/>
            <a:t>        for t in time_periods if value(model.inventory[j, t]) &gt; 0</a:t>
          </a:r>
        </a:p>
        <a:p>
          <a:r>
            <a:rPr lang="en-IN" sz="1100"/>
            <a:t>    ) / len([t for t in time_periods if value(model.inventory[j, t]) &gt; 0]) * 100</a:t>
          </a:r>
        </a:p>
        <a:p>
          <a:r>
            <a:rPr lang="en-IN" sz="1100"/>
            <a:t>    for j in equipment_names.keys()</a:t>
          </a:r>
        </a:p>
        <a:p>
          <a:r>
            <a:rPr lang="en-IN" sz="1100"/>
            <a:t>}</a:t>
          </a:r>
        </a:p>
        <a:p>
          <a:endParaRPr lang="en-IN" sz="1100"/>
        </a:p>
        <a:p>
          <a:endParaRPr lang="en-IN" sz="1100"/>
        </a:p>
        <a:p>
          <a:r>
            <a:rPr lang="en-IN" sz="1100"/>
            <a:t># Calculate the improved fleet utilization</a:t>
          </a:r>
        </a:p>
        <a:p>
          <a:r>
            <a:rPr lang="en-IN" sz="1100"/>
            <a:t>improved_fleet_utilization = {}</a:t>
          </a:r>
        </a:p>
        <a:p>
          <a:endParaRPr lang="en-IN" sz="1100"/>
        </a:p>
        <a:p>
          <a:r>
            <a:rPr lang="en-IN" sz="1100"/>
            <a:t>for j, eq_type in equipment_names.items():</a:t>
          </a:r>
        </a:p>
        <a:p>
          <a:r>
            <a:rPr lang="en-IN" sz="1100"/>
            <a:t>    current_utilization = fleet_utilization.get(eq_type, 0)  # Get current fleet utilization for the equipment type</a:t>
          </a:r>
        </a:p>
        <a:p>
          <a:r>
            <a:rPr lang="en-IN" sz="1100"/>
            <a:t>    original_utilization = original_fleet_utilization.get(eq_type, 0)  # Get original fleet utilization</a:t>
          </a:r>
        </a:p>
        <a:p>
          <a:endParaRPr lang="en-IN" sz="1100"/>
        </a:p>
        <a:p>
          <a:r>
            <a:rPr lang="en-IN" sz="1100"/>
            <a:t>    if original_utilization &gt; 0:</a:t>
          </a:r>
        </a:p>
        <a:p>
          <a:r>
            <a:rPr lang="en-IN" sz="1100"/>
            <a:t>        # Calculate the improved utilization rate as a percentage increase/decrease</a:t>
          </a:r>
        </a:p>
        <a:p>
          <a:r>
            <a:rPr lang="en-IN" sz="1100"/>
            <a:t>        improved_utilization = ((current_utilization - original_utilization) / original_utilization) * 100</a:t>
          </a:r>
        </a:p>
        <a:p>
          <a:r>
            <a:rPr lang="en-IN" sz="1100"/>
            <a:t>    else:</a:t>
          </a:r>
        </a:p>
        <a:p>
          <a:r>
            <a:rPr lang="en-IN" sz="1100"/>
            <a:t>        improved_utilization = 0  # If the original utilization is zero, no improvement possible</a:t>
          </a:r>
        </a:p>
        <a:p>
          <a:r>
            <a:rPr lang="en-IN" sz="1100"/>
            <a:t>    </a:t>
          </a:r>
        </a:p>
        <a:p>
          <a:r>
            <a:rPr lang="en-IN" sz="1100"/>
            <a:t>    improved_fleet_utilization[eq_type] = improved_utilization</a:t>
          </a:r>
        </a:p>
        <a:p>
          <a:endParaRPr lang="en-IN" sz="1100"/>
        </a:p>
        <a:p>
          <a:r>
            <a:rPr lang="en-IN" sz="1100"/>
            <a:t># Revenue per Unit (RPU): Calculate the revenue per unit rented for each equipment type</a:t>
          </a:r>
        </a:p>
        <a:p>
          <a:r>
            <a:rPr lang="en-IN" sz="1100"/>
            <a:t>rpu_per_equipment = {</a:t>
          </a:r>
        </a:p>
        <a:p>
          <a:r>
            <a:rPr lang="en-IN" sz="1100"/>
            <a:t>    equipment_names[j]: optimized_revenue_per_equipment[j] / sum(value(model.x[i, j, t]) for i in lease_durations.keys() for t in time_periods)</a:t>
          </a:r>
        </a:p>
        <a:p>
          <a:r>
            <a:rPr lang="en-IN" sz="1100"/>
            <a:t>    for j in equipment_names.keys()</a:t>
          </a:r>
        </a:p>
        <a:p>
          <a:r>
            <a:rPr lang="en-IN" sz="1100"/>
            <a:t>}</a:t>
          </a:r>
        </a:p>
        <a:p>
          <a:endParaRPr lang="en-IN" sz="1100"/>
        </a:p>
        <a:p>
          <a:r>
            <a:rPr lang="en-IN" sz="1100"/>
            <a:t># Lost Revenue Due to Rejected Rentals: Calculate lost revenue when demand cannot be met</a:t>
          </a:r>
        </a:p>
        <a:p>
          <a:r>
            <a:rPr lang="en-IN" sz="1100"/>
            <a:t>lost_revenue = {</a:t>
          </a:r>
        </a:p>
        <a:p>
          <a:r>
            <a:rPr lang="en-IN" sz="1100"/>
            <a:t>    equipment_names[j]: sum((D_ijt[i, j, t] - value(model.x[i, j, t])) * P_ijt[i, j, t] * T_i[i]</a:t>
          </a:r>
        </a:p>
        <a:p>
          <a:r>
            <a:rPr lang="en-IN" sz="1100"/>
            <a:t>                            for i in lease_durations.keys() for t in time_periods if D_ijt[i, j, t] &gt; value(model.x[i, j, t]))</a:t>
          </a:r>
        </a:p>
        <a:p>
          <a:r>
            <a:rPr lang="en-IN" sz="1100"/>
            <a:t>    for j in equipment_names.keys()</a:t>
          </a:r>
        </a:p>
        <a:p>
          <a:r>
            <a:rPr lang="en-IN" sz="1100"/>
            <a:t>}</a:t>
          </a:r>
        </a:p>
        <a:p>
          <a:endParaRPr lang="en-IN" sz="1100"/>
        </a:p>
        <a:p>
          <a:endParaRPr lang="en-IN" sz="1100"/>
        </a:p>
        <a:p>
          <a:r>
            <a:rPr lang="en-IN" sz="1100"/>
            <a:t># Visualize the results</a:t>
          </a:r>
        </a:p>
        <a:p>
          <a:r>
            <a:rPr lang="en-IN" sz="1100"/>
            <a:t># 1. Revenue Comparison (Actual vs Optimized)</a:t>
          </a:r>
        </a:p>
        <a:p>
          <a:r>
            <a:rPr lang="en-IN" sz="1100"/>
            <a:t># This section creates a side-by-side bar chart to compare actual vs optimized revenue for each equipment type.</a:t>
          </a:r>
        </a:p>
        <a:p>
          <a:endParaRPr lang="en-IN" sz="1100"/>
        </a:p>
        <a:p>
          <a:r>
            <a:rPr lang="en-IN" sz="1100"/>
            <a:t>plt.figure(figsize=(10,6))  # Set the figure size for the plot</a:t>
          </a:r>
        </a:p>
        <a:p>
          <a:r>
            <a:rPr lang="en-IN" sz="1100"/>
            <a:t>bar_width = 0.3  # Width of each bar</a:t>
          </a:r>
        </a:p>
        <a:p>
          <a:r>
            <a:rPr lang="en-IN" sz="1100"/>
            <a:t>index = range(len(equipment_names))  # X-axis positions for the bars, based on number of equipment types</a:t>
          </a:r>
        </a:p>
        <a:p>
          <a:r>
            <a:rPr lang="en-IN" sz="1100"/>
            <a:t>fig, ax = plt.subplots(figsize=(10,6))  # Create a figure and axis object</a:t>
          </a:r>
        </a:p>
        <a:p>
          <a:endParaRPr lang="en-IN" sz="1100"/>
        </a:p>
        <a:p>
          <a:r>
            <a:rPr lang="en-IN" sz="1100"/>
            <a:t># Create the first bar representing actual revenue for each equipment type (orange bars)</a:t>
          </a:r>
        </a:p>
        <a:p>
          <a:r>
            <a:rPr lang="en-IN" sz="1100"/>
            <a:t>bar1 = ax.bar(index, list(actual_revenue_per_equipment.values()), bar_width, label="Actual Revenue", color='orange')</a:t>
          </a:r>
        </a:p>
        <a:p>
          <a:endParaRPr lang="en-IN" sz="1100"/>
        </a:p>
        <a:p>
          <a:r>
            <a:rPr lang="en-IN" sz="1100"/>
            <a:t># Create the second bar representing optimized revenue for each equipment type (green bars)</a:t>
          </a:r>
        </a:p>
        <a:p>
          <a:r>
            <a:rPr lang="en-IN" sz="1100"/>
            <a:t>bar2 = ax.bar([p + bar_width for p in index], list(optimized_revenue_per_equipment.values()), bar_width, label="Optimized Revenue", color='green')</a:t>
          </a:r>
        </a:p>
        <a:p>
          <a:endParaRPr lang="en-IN" sz="1100"/>
        </a:p>
        <a:p>
          <a:r>
            <a:rPr lang="en-IN" sz="1100"/>
            <a:t># Label the x-axis with equipment names</a:t>
          </a:r>
        </a:p>
        <a:p>
          <a:r>
            <a:rPr lang="en-IN" sz="1100"/>
            <a:t>ax.set_xlabel('Equipment Names')</a:t>
          </a:r>
        </a:p>
        <a:p>
          <a:r>
            <a:rPr lang="en-IN" sz="1100"/>
            <a:t># Label the y-axis with the revenue in GBP (£)</a:t>
          </a:r>
        </a:p>
        <a:p>
          <a:r>
            <a:rPr lang="en-IN" sz="1100"/>
            <a:t>ax.set_ylabel('Revenue (£)')</a:t>
          </a:r>
        </a:p>
        <a:p>
          <a:r>
            <a:rPr lang="en-IN" sz="1100"/>
            <a:t># Set the title for the plot</a:t>
          </a:r>
        </a:p>
        <a:p>
          <a:r>
            <a:rPr lang="en-IN" sz="1100"/>
            <a:t>ax.set_title('Revenue Comparison: Actual vs Optimized')</a:t>
          </a:r>
        </a:p>
        <a:p>
          <a:r>
            <a:rPr lang="en-IN" sz="1100"/>
            <a:t># Adjust the x-axis ticks to display equipment names centered between the bars</a:t>
          </a:r>
        </a:p>
        <a:p>
          <a:r>
            <a:rPr lang="en-IN" sz="1100"/>
            <a:t>ax.set_xticks([p + bar_width / 2 for p in index])</a:t>
          </a:r>
        </a:p>
        <a:p>
          <a:r>
            <a:rPr lang="en-IN" sz="1100"/>
            <a:t>ax.set_xticklabels(equipment_names.values())  # Set the equipment names as the x-tick labels</a:t>
          </a:r>
        </a:p>
        <a:p>
          <a:r>
            <a:rPr lang="en-IN" sz="1100"/>
            <a:t>ax.legend()  # Add the legend to distinguish between actual and optimized revenue bars</a:t>
          </a:r>
        </a:p>
        <a:p>
          <a:endParaRPr lang="en-IN" sz="1100"/>
        </a:p>
        <a:p>
          <a:r>
            <a:rPr lang="en-IN" sz="1100"/>
            <a:t># Adding the actual values as labels inside each bar</a:t>
          </a:r>
        </a:p>
        <a:p>
          <a:r>
            <a:rPr lang="en-IN" sz="1100"/>
            <a:t># This loop adds the actual value (in currency) at the top of each bar</a:t>
          </a:r>
        </a:p>
        <a:p>
          <a:r>
            <a:rPr lang="en-IN" sz="1100"/>
            <a:t>for rect in bar1 + bar2:</a:t>
          </a:r>
        </a:p>
        <a:p>
          <a:r>
            <a:rPr lang="en-IN" sz="1100"/>
            <a:t>    height = rect.get_height()  # Get the height of each bar (which corresponds to the revenue value)</a:t>
          </a:r>
        </a:p>
        <a:p>
          <a:r>
            <a:rPr lang="en-IN" sz="1100"/>
            <a:t>    ax.annotate(f'£{height:,.2f}',  # Format the value as currency</a:t>
          </a:r>
        </a:p>
        <a:p>
          <a:r>
            <a:rPr lang="en-IN" sz="1100"/>
            <a:t>                xy=(rect.get_x() + rect.get_width() / 2, height),  # Position the label at the center of each bar</a:t>
          </a:r>
        </a:p>
        <a:p>
          <a:r>
            <a:rPr lang="en-IN" sz="1100"/>
            <a:t>                xytext=(0, 3),  # Offset the text vertically by 3 points</a:t>
          </a:r>
        </a:p>
        <a:p>
          <a:r>
            <a:rPr lang="en-IN" sz="1100"/>
            <a:t>                textcoords="offset points",  # Specify that the offset is in points</a:t>
          </a:r>
        </a:p>
        <a:p>
          <a:r>
            <a:rPr lang="en-IN" sz="1100"/>
            <a:t>                ha='center', va='bottom')  # Align the text horizontally and vertically</a:t>
          </a:r>
        </a:p>
        <a:p>
          <a:endParaRPr lang="en-IN" sz="1100"/>
        </a:p>
        <a:p>
          <a:r>
            <a:rPr lang="en-IN" sz="1100"/>
            <a:t>plt.show()  # Display the plot</a:t>
          </a:r>
        </a:p>
        <a:p>
          <a:endParaRPr lang="en-IN" sz="1100"/>
        </a:p>
        <a:p>
          <a:r>
            <a:rPr lang="en-IN" sz="1100"/>
            <a:t># 2. Comparison of ROI (Actual vs Optimized)</a:t>
          </a:r>
        </a:p>
        <a:p>
          <a:r>
            <a:rPr lang="en-IN" sz="1100"/>
            <a:t>plt.figure(figsize=(10,6))  </a:t>
          </a:r>
        </a:p>
        <a:p>
          <a:r>
            <a:rPr lang="en-IN" sz="1100"/>
            <a:t>bar_width = 0.35  </a:t>
          </a:r>
        </a:p>
        <a:p>
          <a:r>
            <a:rPr lang="en-IN" sz="1100"/>
            <a:t>index = range(len(equipment_names))  </a:t>
          </a:r>
        </a:p>
        <a:p>
          <a:endParaRPr lang="en-IN" sz="1100"/>
        </a:p>
        <a:p>
          <a:r>
            <a:rPr lang="en-IN" sz="1100"/>
            <a:t>fig, ax = plt.subplots(figsize=(10,6))  </a:t>
          </a:r>
        </a:p>
        <a:p>
          <a:r>
            <a:rPr lang="en-IN" sz="1100"/>
            <a:t>bar1 = ax.bar(index, list(actual_roi_per_equipment.values()), bar_width, label="Actual ROI", color='lightcoral')  </a:t>
          </a:r>
        </a:p>
        <a:p>
          <a:r>
            <a:rPr lang="en-IN" sz="1100"/>
            <a:t>bar2 = ax.bar([p + bar_width for p in index], list(optimized_roi_per_equipment.values()), bar_width, label="Optimized ROI", color='mediumseagreen')  </a:t>
          </a:r>
        </a:p>
        <a:p>
          <a:endParaRPr lang="en-IN" sz="1100"/>
        </a:p>
        <a:p>
          <a:r>
            <a:rPr lang="en-IN" sz="1100"/>
            <a:t>ax.set_xlabel('Equipment Names')  </a:t>
          </a:r>
        </a:p>
        <a:p>
          <a:r>
            <a:rPr lang="en-IN" sz="1100"/>
            <a:t>ax.set_ylabel('ROI (%)')  </a:t>
          </a:r>
        </a:p>
        <a:p>
          <a:r>
            <a:rPr lang="en-IN" sz="1100"/>
            <a:t>ax.set_title('Actual vs Optimized ROI per Equipment Type')  </a:t>
          </a:r>
        </a:p>
        <a:p>
          <a:r>
            <a:rPr lang="en-IN" sz="1100"/>
            <a:t>ax.set_xticks([p + bar_width / 2 for p in index])  </a:t>
          </a:r>
        </a:p>
        <a:p>
          <a:r>
            <a:rPr lang="en-IN" sz="1100"/>
            <a:t>ax.set_xticklabels(equipment_names.values())  </a:t>
          </a:r>
        </a:p>
        <a:p>
          <a:r>
            <a:rPr lang="en-IN" sz="1100"/>
            <a:t>ax.legend()  </a:t>
          </a:r>
        </a:p>
        <a:p>
          <a:endParaRPr lang="en-IN" sz="1100"/>
        </a:p>
        <a:p>
          <a:r>
            <a:rPr lang="en-IN" sz="1100"/>
            <a:t>for rect in bar1 + bar2:  </a:t>
          </a:r>
        </a:p>
        <a:p>
          <a:r>
            <a:rPr lang="en-IN" sz="1100"/>
            <a:t>    height = rect.get_height()  </a:t>
          </a:r>
        </a:p>
        <a:p>
          <a:r>
            <a:rPr lang="en-IN" sz="1100"/>
            <a:t>    ax.annotate(f'{height:.2f}%',  </a:t>
          </a:r>
        </a:p>
        <a:p>
          <a:r>
            <a:rPr lang="en-IN" sz="1100"/>
            <a:t>                xy=(rect.get_x() + rect.get_width() / 2, height),  </a:t>
          </a:r>
        </a:p>
        <a:p>
          <a:r>
            <a:rPr lang="en-IN" sz="1100"/>
            <a:t>                xytext=(0, 3),  </a:t>
          </a:r>
        </a:p>
        <a:p>
          <a:r>
            <a:rPr lang="en-IN" sz="1100"/>
            <a:t>                textcoords="offset points",  </a:t>
          </a:r>
        </a:p>
        <a:p>
          <a:r>
            <a:rPr lang="en-IN" sz="1100"/>
            <a:t>                ha='center', va='bottom')  </a:t>
          </a:r>
        </a:p>
        <a:p>
          <a:endParaRPr lang="en-IN" sz="1100"/>
        </a:p>
        <a:p>
          <a:r>
            <a:rPr lang="en-IN" sz="1100"/>
            <a:t>plt.show()  </a:t>
          </a:r>
        </a:p>
        <a:p>
          <a:endParaRPr lang="en-IN" sz="1100"/>
        </a:p>
        <a:p>
          <a:r>
            <a:rPr lang="en-IN" sz="1100"/>
            <a:t>#3. Comparison of Fleet Utilization Rate: Actual vs Optimized</a:t>
          </a:r>
        </a:p>
        <a:p>
          <a:r>
            <a:rPr lang="en-IN" sz="1100"/>
            <a:t>plt.figure(figsize=(10,6))  </a:t>
          </a:r>
        </a:p>
        <a:p>
          <a:r>
            <a:rPr lang="en-IN" sz="1100"/>
            <a:t>bar_width = 0.35  </a:t>
          </a:r>
        </a:p>
        <a:p>
          <a:r>
            <a:rPr lang="en-IN" sz="1100"/>
            <a:t>index = range(len(fleet_utilization))  </a:t>
          </a:r>
        </a:p>
        <a:p>
          <a:endParaRPr lang="en-IN" sz="1100"/>
        </a:p>
        <a:p>
          <a:r>
            <a:rPr lang="en-IN" sz="1100"/>
            <a:t>fig, ax = plt.subplots(figsize=(10,6))  </a:t>
          </a:r>
        </a:p>
        <a:p>
          <a:r>
            <a:rPr lang="en-IN" sz="1100"/>
            <a:t>bar1 = ax.bar(index, list(original_fleet_utilization.values()), bar_width, label="Actual Fleet Utilization", color='lightblue')  </a:t>
          </a:r>
        </a:p>
        <a:p>
          <a:r>
            <a:rPr lang="en-IN" sz="1100"/>
            <a:t>bar2 = ax.bar([p + bar_width for p in index], list(fleet_utilization.values()), bar_width, label="Optimized Fleet Utilization", color='yellowgreen')  </a:t>
          </a:r>
        </a:p>
        <a:p>
          <a:endParaRPr lang="en-IN" sz="1100"/>
        </a:p>
        <a:p>
          <a:r>
            <a:rPr lang="en-IN" sz="1100"/>
            <a:t>ax.set_xlabel('Equipment Names')  </a:t>
          </a:r>
        </a:p>
        <a:p>
          <a:r>
            <a:rPr lang="en-IN" sz="1100"/>
            <a:t>ax.set_ylabel('Utilization Rate (%)')  </a:t>
          </a:r>
        </a:p>
        <a:p>
          <a:r>
            <a:rPr lang="en-IN" sz="1100"/>
            <a:t>ax.set_title('Actual vs Optimized Fleet Utilization per Equipment Type')  </a:t>
          </a:r>
        </a:p>
        <a:p>
          <a:r>
            <a:rPr lang="en-IN" sz="1100"/>
            <a:t>ax.set_xticks([p + bar_width / 2 for p in index])  </a:t>
          </a:r>
        </a:p>
        <a:p>
          <a:r>
            <a:rPr lang="en-IN" sz="1100"/>
            <a:t>ax.set_xticklabels(equipment_names.values())  </a:t>
          </a:r>
        </a:p>
        <a:p>
          <a:r>
            <a:rPr lang="en-IN" sz="1100"/>
            <a:t>ax.legend()  </a:t>
          </a:r>
        </a:p>
        <a:p>
          <a:endParaRPr lang="en-IN" sz="1100"/>
        </a:p>
        <a:p>
          <a:r>
            <a:rPr lang="en-IN" sz="1100"/>
            <a:t>for rect in bar1 + bar2:  </a:t>
          </a:r>
        </a:p>
        <a:p>
          <a:r>
            <a:rPr lang="en-IN" sz="1100"/>
            <a:t>    height = rect.get_height()  </a:t>
          </a:r>
        </a:p>
        <a:p>
          <a:r>
            <a:rPr lang="en-IN" sz="1100"/>
            <a:t>    ax.annotate(f'{height:.2f}%',  </a:t>
          </a:r>
        </a:p>
        <a:p>
          <a:r>
            <a:rPr lang="en-IN" sz="1100"/>
            <a:t>                xy=(rect.get_x() + rect.get_width() / 2, height),  </a:t>
          </a:r>
        </a:p>
        <a:p>
          <a:r>
            <a:rPr lang="en-IN" sz="1100"/>
            <a:t>                xytext=(0, 3),  </a:t>
          </a:r>
        </a:p>
        <a:p>
          <a:r>
            <a:rPr lang="en-IN" sz="1100"/>
            <a:t>                textcoords="offset points",  </a:t>
          </a:r>
        </a:p>
        <a:p>
          <a:r>
            <a:rPr lang="en-IN" sz="1100"/>
            <a:t>                ha='center', va='bottom')  </a:t>
          </a:r>
        </a:p>
        <a:p>
          <a:endParaRPr lang="en-IN" sz="1100"/>
        </a:p>
        <a:p>
          <a:r>
            <a:rPr lang="en-IN" sz="1100"/>
            <a:t>plt.show()  </a:t>
          </a:r>
        </a:p>
        <a:p>
          <a:endParaRPr lang="en-IN" sz="1100"/>
        </a:p>
        <a:p>
          <a:r>
            <a:rPr lang="en-IN" sz="1100"/>
            <a:t>#4. Comparison of Return On Investment: Actual vs Optimized</a:t>
          </a:r>
        </a:p>
        <a:p>
          <a:r>
            <a:rPr lang="en-IN" sz="1100"/>
            <a:t># Create the comparison bar chart</a:t>
          </a:r>
        </a:p>
        <a:p>
          <a:r>
            <a:rPr lang="en-IN" sz="1100"/>
            <a:t>plt.figure(figsize=(8, 6))</a:t>
          </a:r>
        </a:p>
        <a:p>
          <a:r>
            <a:rPr lang="en-IN" sz="1100"/>
            <a:t>categories = ['Actual ROI', 'Optimized ROI']</a:t>
          </a:r>
        </a:p>
        <a:p>
          <a:r>
            <a:rPr lang="en-IN" sz="1100"/>
            <a:t>roi_values = [roi_actual, roi_optimized]</a:t>
          </a:r>
        </a:p>
        <a:p>
          <a:endParaRPr lang="en-IN" sz="1100"/>
        </a:p>
        <a:p>
          <a:r>
            <a:rPr lang="en-IN" sz="1100"/>
            <a:t># Create the bar chart</a:t>
          </a:r>
        </a:p>
        <a:p>
          <a:r>
            <a:rPr lang="en-IN" sz="1100"/>
            <a:t>plt.bar(categories, roi_values, color=['lightcoral', 'mediumseagreen'])</a:t>
          </a:r>
        </a:p>
        <a:p>
          <a:endParaRPr lang="en-IN" sz="1100"/>
        </a:p>
        <a:p>
          <a:r>
            <a:rPr lang="en-IN" sz="1100"/>
            <a:t># Add title and labels</a:t>
          </a:r>
        </a:p>
        <a:p>
          <a:r>
            <a:rPr lang="en-IN" sz="1100"/>
            <a:t>plt.title('Comparison of Actual ROI vs Optimized ROI')</a:t>
          </a:r>
        </a:p>
        <a:p>
          <a:r>
            <a:rPr lang="en-IN" sz="1100"/>
            <a:t>plt.ylabel('ROI (%)')</a:t>
          </a:r>
        </a:p>
        <a:p>
          <a:endParaRPr lang="en-IN" sz="1100"/>
        </a:p>
        <a:p>
          <a:r>
            <a:rPr lang="en-IN" sz="1100"/>
            <a:t># Annotate the bars with their values</a:t>
          </a:r>
        </a:p>
        <a:p>
          <a:r>
            <a:rPr lang="en-IN" sz="1100"/>
            <a:t>for i, value in enumerate(roi_values):</a:t>
          </a:r>
        </a:p>
        <a:p>
          <a:r>
            <a:rPr lang="en-IN" sz="1100"/>
            <a:t>    plt.text(i, value + 0.5, f'{value:.2f}%', ha='center', va='bottom')</a:t>
          </a:r>
        </a:p>
        <a:p>
          <a:endParaRPr lang="en-IN" sz="1100"/>
        </a:p>
        <a:p>
          <a:r>
            <a:rPr lang="en-IN" sz="1100"/>
            <a:t># Show the graph</a:t>
          </a:r>
        </a:p>
        <a:p>
          <a:r>
            <a:rPr lang="en-IN" sz="1100"/>
            <a:t>plt.show()</a:t>
          </a:r>
        </a:p>
        <a:p>
          <a:endParaRPr lang="en-IN" sz="1100"/>
        </a:p>
        <a:p>
          <a:endParaRPr lang="en-IN" sz="1100"/>
        </a:p>
        <a:p>
          <a:r>
            <a:rPr lang="en-IN" sz="1100"/>
            <a:t>#5. Comparison of Revenue: Actual vs Optimized</a:t>
          </a:r>
        </a:p>
        <a:p>
          <a:r>
            <a:rPr lang="en-IN" sz="1100"/>
            <a:t># Create the comparison bar chart</a:t>
          </a:r>
        </a:p>
        <a:p>
          <a:r>
            <a:rPr lang="en-IN" sz="1100"/>
            <a:t>plt.figure(figsize=(10, 6))</a:t>
          </a:r>
        </a:p>
        <a:p>
          <a:r>
            <a:rPr lang="en-IN" sz="1100"/>
            <a:t>categories = ['Optimised Revenue', 'Actual Revenue']</a:t>
          </a:r>
        </a:p>
        <a:p>
          <a:r>
            <a:rPr lang="en-IN" sz="1100"/>
            <a:t>revenues = [optimized_revenue, actual_revenue]</a:t>
          </a:r>
        </a:p>
        <a:p>
          <a:endParaRPr lang="en-IN" sz="1100"/>
        </a:p>
        <a:p>
          <a:r>
            <a:rPr lang="en-IN" sz="1100"/>
            <a:t># Create the bar chart</a:t>
          </a:r>
        </a:p>
        <a:p>
          <a:r>
            <a:rPr lang="en-IN" sz="1100"/>
            <a:t>plt.bar(categories, revenues, color=['mediumseagreen', 'lightcoral'])</a:t>
          </a:r>
        </a:p>
        <a:p>
          <a:endParaRPr lang="en-IN" sz="1100"/>
        </a:p>
        <a:p>
          <a:r>
            <a:rPr lang="en-IN" sz="1100"/>
            <a:t># Add title and labels</a:t>
          </a:r>
        </a:p>
        <a:p>
          <a:r>
            <a:rPr lang="en-IN" sz="1100"/>
            <a:t>plt.title('Comparison of Optimised vs Actual Revenue')</a:t>
          </a:r>
        </a:p>
        <a:p>
          <a:r>
            <a:rPr lang="en-IN" sz="1100"/>
            <a:t>plt.ylabel('Revenue (£)')</a:t>
          </a:r>
        </a:p>
        <a:p>
          <a:endParaRPr lang="en-IN" sz="1100"/>
        </a:p>
        <a:p>
          <a:r>
            <a:rPr lang="en-IN" sz="1100"/>
            <a:t># Annotate the bars with their values</a:t>
          </a:r>
        </a:p>
        <a:p>
          <a:r>
            <a:rPr lang="en-IN" sz="1100"/>
            <a:t>for i, value in enumerate(revenues):</a:t>
          </a:r>
        </a:p>
        <a:p>
          <a:r>
            <a:rPr lang="en-IN" sz="1100"/>
            <a:t>    plt.text(i, value + 1000000, f'£{value:,.2f}', ha='center', va='bottom')</a:t>
          </a:r>
        </a:p>
        <a:p>
          <a:endParaRPr lang="en-IN" sz="1100"/>
        </a:p>
        <a:p>
          <a:r>
            <a:rPr lang="en-IN" sz="1100"/>
            <a:t># Show the graph</a:t>
          </a:r>
        </a:p>
        <a:p>
          <a:r>
            <a:rPr lang="en-IN" sz="1100"/>
            <a:t>plt.show()</a:t>
          </a:r>
        </a:p>
        <a:p>
          <a:endParaRPr lang="en-IN" sz="1100"/>
        </a:p>
        <a:p>
          <a:endParaRPr lang="en-IN" sz="1100"/>
        </a:p>
        <a:p>
          <a:r>
            <a:rPr lang="en-IN" sz="1100"/>
            <a:t># Output the Results</a:t>
          </a:r>
        </a:p>
        <a:p>
          <a:r>
            <a:rPr lang="en-IN" sz="1100"/>
            <a:t># Print all the key results, such as fleet utilization, revenue per unit, lost revenue, and optimized revenue</a:t>
          </a:r>
        </a:p>
        <a:p>
          <a:endParaRPr lang="en-IN" sz="1100"/>
        </a:p>
        <a:p>
          <a:r>
            <a:rPr lang="en-IN" sz="1100"/>
            <a:t>print("\n====== All Key Results ======")</a:t>
          </a:r>
        </a:p>
        <a:p>
          <a:endParaRPr lang="en-IN" sz="1100"/>
        </a:p>
        <a:p>
          <a:r>
            <a:rPr lang="en-IN" sz="1100"/>
            <a:t>print("Original Fleet Utilization Rate:")</a:t>
          </a:r>
        </a:p>
        <a:p>
          <a:r>
            <a:rPr lang="en-IN" sz="1100"/>
            <a:t>for k, v in original_fleet_utilization.items():</a:t>
          </a:r>
        </a:p>
        <a:p>
          <a:r>
            <a:rPr lang="en-IN" sz="1100"/>
            <a:t>    print(f"{k}: {v:.2f}%")</a:t>
          </a:r>
        </a:p>
        <a:p>
          <a:endParaRPr lang="en-IN" sz="1100"/>
        </a:p>
        <a:p>
          <a:r>
            <a:rPr lang="en-IN" sz="1100"/>
            <a:t>print("\nUnused Inventory Revenue Loss:")</a:t>
          </a:r>
        </a:p>
        <a:p>
          <a:r>
            <a:rPr lang="en-IN" sz="1100"/>
            <a:t>for k, v in unused_inventory_revenue_loss.items():</a:t>
          </a:r>
        </a:p>
        <a:p>
          <a:r>
            <a:rPr lang="en-IN" sz="1100"/>
            <a:t>    print(f"{k}: £{v:,.2f}")</a:t>
          </a:r>
        </a:p>
        <a:p>
          <a:endParaRPr lang="en-IN" sz="1100"/>
        </a:p>
        <a:p>
          <a:endParaRPr lang="en-IN" sz="1100"/>
        </a:p>
        <a:p>
          <a:r>
            <a:rPr lang="en-IN" sz="1100"/>
            <a:t># Optimized Fleet Utilization Rate</a:t>
          </a:r>
        </a:p>
        <a:p>
          <a:r>
            <a:rPr lang="en-IN" sz="1100"/>
            <a:t>print("\nOptimized Fleet Utilization Rate:")</a:t>
          </a:r>
        </a:p>
        <a:p>
          <a:r>
            <a:rPr lang="en-IN" sz="1100"/>
            <a:t>for k, v in fleet_utilization.items():</a:t>
          </a:r>
        </a:p>
        <a:p>
          <a:r>
            <a:rPr lang="en-IN" sz="1100"/>
            <a:t>    print(f"{k}: {v:.2f}%")</a:t>
          </a:r>
        </a:p>
        <a:p>
          <a:r>
            <a:rPr lang="en-IN" sz="1100"/>
            <a:t>  </a:t>
          </a:r>
        </a:p>
        <a:p>
          <a:r>
            <a:rPr lang="en-IN" sz="1100"/>
            <a:t># Improved Fleet Utilization Rate</a:t>
          </a:r>
        </a:p>
        <a:p>
          <a:r>
            <a:rPr lang="en-IN" sz="1100"/>
            <a:t>print("\nImproved Fleet Utilization Rate:")</a:t>
          </a:r>
        </a:p>
        <a:p>
          <a:r>
            <a:rPr lang="en-IN" sz="1100"/>
            <a:t>for k, v in improved_fleet_utilization.items():</a:t>
          </a:r>
        </a:p>
        <a:p>
          <a:r>
            <a:rPr lang="en-IN" sz="1100"/>
            <a:t>    print(f"{k}: {v:.2f}%")</a:t>
          </a:r>
        </a:p>
        <a:p>
          <a:endParaRPr lang="en-IN" sz="1100"/>
        </a:p>
        <a:p>
          <a:r>
            <a:rPr lang="en-IN" sz="1100"/>
            <a:t># Revenue per Unit (RPU)</a:t>
          </a:r>
        </a:p>
        <a:p>
          <a:r>
            <a:rPr lang="en-IN" sz="1100"/>
            <a:t>print("\nRevenue per Unit (RPU):")</a:t>
          </a:r>
        </a:p>
        <a:p>
          <a:r>
            <a:rPr lang="en-IN" sz="1100"/>
            <a:t>for k, v in rpu_per_equipment.items():</a:t>
          </a:r>
        </a:p>
        <a:p>
          <a:r>
            <a:rPr lang="en-IN" sz="1100"/>
            <a:t>    print(f"{k}: £{v:,.2f}")</a:t>
          </a:r>
        </a:p>
        <a:p>
          <a:endParaRPr lang="en-IN" sz="1100"/>
        </a:p>
        <a:p>
          <a:r>
            <a:rPr lang="en-IN" sz="1100"/>
            <a:t># Lost Revenue Due to Rejected Rentals</a:t>
          </a:r>
        </a:p>
        <a:p>
          <a:r>
            <a:rPr lang="en-IN" sz="1100"/>
            <a:t>print("\nLost Revenue Due to Rejected Rentals:")</a:t>
          </a:r>
        </a:p>
        <a:p>
          <a:r>
            <a:rPr lang="en-IN" sz="1100"/>
            <a:t>for k, v in lost_revenue.items():</a:t>
          </a:r>
        </a:p>
        <a:p>
          <a:r>
            <a:rPr lang="en-IN" sz="1100"/>
            <a:t>    print(f"{k}: £{v:,.2f}")</a:t>
          </a:r>
        </a:p>
        <a:p>
          <a:endParaRPr lang="en-IN" sz="1100"/>
        </a:p>
        <a:p>
          <a:r>
            <a:rPr lang="en-IN" sz="1100"/>
            <a:t># Optimized Revenue Per Equipment Type</a:t>
          </a:r>
        </a:p>
        <a:p>
          <a:r>
            <a:rPr lang="en-IN" sz="1100"/>
            <a:t>print("\nOptimized Revenue Per Equipment Type:")</a:t>
          </a:r>
        </a:p>
        <a:p>
          <a:r>
            <a:rPr lang="en-IN" sz="1100"/>
            <a:t>for k, v in optimized_revenue_per_equipment.items():</a:t>
          </a:r>
        </a:p>
        <a:p>
          <a:r>
            <a:rPr lang="en-IN" sz="1100"/>
            <a:t>    print(f"{equipment_names[k]}: £{v:,.2f}")</a:t>
          </a:r>
        </a:p>
        <a:p>
          <a:r>
            <a:rPr lang="en-IN" sz="1100"/>
            <a:t>    </a:t>
          </a:r>
        </a:p>
        <a:p>
          <a:r>
            <a:rPr lang="en-IN" sz="1100"/>
            <a:t># Print revenue improvement per equipment type</a:t>
          </a:r>
        </a:p>
        <a:p>
          <a:r>
            <a:rPr lang="en-IN" sz="1100"/>
            <a:t>print("\nRevenue Improvement Per Equipment Type:")</a:t>
          </a:r>
        </a:p>
        <a:p>
          <a:r>
            <a:rPr lang="en-IN" sz="1100"/>
            <a:t>for j in equipment_names.keys():</a:t>
          </a:r>
        </a:p>
        <a:p>
          <a:r>
            <a:rPr lang="en-IN" sz="1100"/>
            <a:t>    print(f"{equipment_names[j]}: £{revenue_improvement_per_equipment[j]:,.2f}")</a:t>
          </a:r>
        </a:p>
        <a:p>
          <a:r>
            <a:rPr lang="en-IN" sz="1100"/>
            <a:t>    </a:t>
          </a:r>
        </a:p>
        <a:p>
          <a:r>
            <a:rPr lang="en-IN" sz="1100"/>
            <a:t># Print percentage revenue improvement per equipment type</a:t>
          </a:r>
        </a:p>
        <a:p>
          <a:r>
            <a:rPr lang="en-IN" sz="1100"/>
            <a:t>print("\nRevenue Improvement Rate Per Equipment Type:")</a:t>
          </a:r>
        </a:p>
        <a:p>
          <a:r>
            <a:rPr lang="en-IN" sz="1100"/>
            <a:t>for j in equipment_names.keys():</a:t>
          </a:r>
        </a:p>
        <a:p>
          <a:r>
            <a:rPr lang="en-IN" sz="1100"/>
            <a:t>    print(f"{equipment_names[j]}: {revenue_improvement_rate_per_equipment[j]:.2f}%")</a:t>
          </a:r>
        </a:p>
        <a:p>
          <a:r>
            <a:rPr lang="en-IN" sz="1100"/>
            <a:t>    </a:t>
          </a:r>
        </a:p>
        <a:p>
          <a:r>
            <a:rPr lang="en-IN" sz="1100"/>
            <a:t># Print actual ROI per equipment type</a:t>
          </a:r>
        </a:p>
        <a:p>
          <a:r>
            <a:rPr lang="en-IN" sz="1100"/>
            <a:t>print("\nActual ROI Per Equipment Type:")</a:t>
          </a:r>
        </a:p>
        <a:p>
          <a:r>
            <a:rPr lang="en-IN" sz="1100"/>
            <a:t>for j in equipment_names.keys():</a:t>
          </a:r>
        </a:p>
        <a:p>
          <a:r>
            <a:rPr lang="en-IN" sz="1100"/>
            <a:t>    print(f"{equipment_names[j]}: {actual_roi_per_equipment[j]:.2f}%")</a:t>
          </a:r>
        </a:p>
        <a:p>
          <a:endParaRPr lang="en-IN" sz="1100"/>
        </a:p>
        <a:p>
          <a:r>
            <a:rPr lang="en-IN" sz="1100"/>
            <a:t># Print optimized ROI per equipment type</a:t>
          </a:r>
        </a:p>
        <a:p>
          <a:r>
            <a:rPr lang="en-IN" sz="1100"/>
            <a:t>print("\nOptimized ROI Per Equipment Type:")</a:t>
          </a:r>
        </a:p>
        <a:p>
          <a:r>
            <a:rPr lang="en-IN" sz="1100"/>
            <a:t>for j in equipment_names.keys():</a:t>
          </a:r>
        </a:p>
        <a:p>
          <a:r>
            <a:rPr lang="en-IN" sz="1100"/>
            <a:t>    print(f"{equipment_names[j]}: {optimized_roi_per_equipment[j]:.2f}%")</a:t>
          </a:r>
        </a:p>
        <a:p>
          <a:endParaRPr lang="en-IN" sz="1100"/>
        </a:p>
        <a:p>
          <a:r>
            <a:rPr lang="en-IN" sz="1100"/>
            <a:t># Print ROI improvement per equipment type</a:t>
          </a:r>
        </a:p>
        <a:p>
          <a:r>
            <a:rPr lang="en-IN" sz="1100"/>
            <a:t>print("\nOverall ROI Improvement Per Equipment Type:")</a:t>
          </a:r>
        </a:p>
        <a:p>
          <a:r>
            <a:rPr lang="en-IN" sz="1100"/>
            <a:t>for j in equipment_names.keys():</a:t>
          </a:r>
        </a:p>
        <a:p>
          <a:r>
            <a:rPr lang="en-IN" sz="1100"/>
            <a:t>    print(f"{equipment_names[j]}: {overall_roi_per_equipment[j]:.2f}%")</a:t>
          </a:r>
        </a:p>
        <a:p>
          <a:endParaRPr lang="en-IN" sz="1100"/>
        </a:p>
        <a:p>
          <a:r>
            <a:rPr lang="en-IN" sz="1100"/>
            <a:t># Overall Revenue Performance</a:t>
          </a:r>
        </a:p>
        <a:p>
          <a:r>
            <a:rPr lang="en-IN" sz="1100"/>
            <a:t>print("\nOverall Revenue Performance:")</a:t>
          </a:r>
        </a:p>
        <a:p>
          <a:r>
            <a:rPr lang="en-IN" sz="1100"/>
            <a:t>print(f"Optimal rental revenue achieved: £{optimized_revenue:,.2f}")</a:t>
          </a:r>
        </a:p>
        <a:p>
          <a:r>
            <a:rPr lang="en-IN" sz="1100"/>
            <a:t>print(f"Actual rental revenue: £{actual_revenue:,.2f}")</a:t>
          </a:r>
        </a:p>
        <a:p>
          <a:r>
            <a:rPr lang="en-IN" sz="1100"/>
            <a:t>print(f"Revenue improvement: £{(optimized_revenue - actual_revenue):,.2f}")</a:t>
          </a:r>
        </a:p>
        <a:p>
          <a:r>
            <a:rPr lang="en-IN" sz="1100"/>
            <a:t>print(f"Revenue improvement rate: {revenue_improvement_rate:.2f}%")</a:t>
          </a:r>
        </a:p>
        <a:p>
          <a:r>
            <a:rPr lang="en-IN" sz="1100"/>
            <a:t>print(f"Actual ROI: {roi_actual:.2f}%")</a:t>
          </a:r>
        </a:p>
        <a:p>
          <a:r>
            <a:rPr lang="en-IN" sz="1100"/>
            <a:t>print(f"Optimized ROI: {roi_optimized:.2f}%")</a:t>
          </a:r>
        </a:p>
        <a:p>
          <a:r>
            <a:rPr lang="en-IN" sz="1100"/>
            <a:t>print(f"Overall ROI Improvement: {overall_roi_change:.2f}%")</a:t>
          </a:r>
        </a:p>
        <a:p>
          <a:endParaRPr lang="en-IN" sz="11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Naderi, Siamak" id="{BC5B15C2-1F20-7D41-B3C0-7C9ED2710528}" userId="Naderi, Siamak" providerId="Non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K2" dT="2025-02-12T14:05:41.04" personId="{BC5B15C2-1F20-7D41-B3C0-7C9ED2710528}" id="{9B04FB2C-F6E2-C345-A32A-C210BA4C3F51}">
    <text xml:space="preserve">These numbers are the fleet size for each types of the equipment. </text>
  </threadedComment>
  <threadedComment ref="BL2" dT="2025-02-12T14:05:58.10" personId="{BC5B15C2-1F20-7D41-B3C0-7C9ED2710528}" id="{FBAB2DAD-F6D1-E24C-87A4-123D7BB07E21}">
    <text xml:space="preserve">These numbers are the fleet size for each types of the equipment. </text>
  </threadedComment>
  <threadedComment ref="BM2" dT="2025-02-12T14:06:05.10" personId="{BC5B15C2-1F20-7D41-B3C0-7C9ED2710528}" id="{5EEB757F-D775-9748-A40D-7976E39FAD3F}">
    <text xml:space="preserve">These numbers are the fleet size for each types of the equipment. 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P56"/>
  <sheetViews>
    <sheetView zoomScale="94" zoomScaleNormal="170" workbookViewId="0">
      <pane ySplit="1" topLeftCell="A2" activePane="bottomLeft" state="frozen"/>
      <selection pane="bottomLeft" activeCell="BP4" sqref="BP4"/>
    </sheetView>
  </sheetViews>
  <sheetFormatPr defaultColWidth="8.90625" defaultRowHeight="14.5"/>
  <cols>
    <col min="1" max="1" width="5.6328125" bestFit="1" customWidth="1"/>
    <col min="2" max="2" width="21.7265625" bestFit="1" customWidth="1"/>
    <col min="3" max="3" width="31.36328125" bestFit="1" customWidth="1"/>
    <col min="4" max="4" width="32" bestFit="1" customWidth="1"/>
    <col min="5" max="5" width="31.453125" bestFit="1" customWidth="1"/>
    <col min="6" max="6" width="30.90625" bestFit="1" customWidth="1"/>
    <col min="7" max="7" width="31.90625" bestFit="1" customWidth="1"/>
    <col min="8" max="8" width="32.08984375" bestFit="1" customWidth="1"/>
    <col min="9" max="9" width="32.90625" bestFit="1" customWidth="1"/>
    <col min="10" max="10" width="32.36328125" bestFit="1" customWidth="1"/>
    <col min="11" max="11" width="31.6328125" bestFit="1" customWidth="1"/>
    <col min="12" max="12" width="32.7265625" bestFit="1" customWidth="1"/>
    <col min="13" max="13" width="32.08984375" bestFit="1" customWidth="1"/>
    <col min="14" max="14" width="32.90625" bestFit="1" customWidth="1"/>
    <col min="15" max="15" width="32.36328125" bestFit="1" customWidth="1"/>
    <col min="16" max="16" width="31.6328125" bestFit="1" customWidth="1"/>
    <col min="17" max="17" width="32.7265625" bestFit="1" customWidth="1"/>
    <col min="18" max="18" width="33.08984375" bestFit="1" customWidth="1"/>
    <col min="19" max="19" width="33.90625" bestFit="1" customWidth="1"/>
    <col min="20" max="20" width="33.453125" bestFit="1" customWidth="1"/>
    <col min="21" max="21" width="32.6328125" bestFit="1" customWidth="1"/>
    <col min="22" max="22" width="33.90625" bestFit="1" customWidth="1"/>
    <col min="23" max="23" width="28" bestFit="1" customWidth="1"/>
    <col min="24" max="24" width="28.6328125" bestFit="1" customWidth="1"/>
    <col min="25" max="25" width="28.08984375" bestFit="1" customWidth="1"/>
    <col min="26" max="26" width="27.453125" bestFit="1" customWidth="1"/>
    <col min="27" max="27" width="28.453125" bestFit="1" customWidth="1"/>
    <col min="28" max="28" width="28.90625" bestFit="1" customWidth="1"/>
    <col min="29" max="29" width="29.453125" bestFit="1" customWidth="1"/>
    <col min="30" max="30" width="29" bestFit="1" customWidth="1"/>
    <col min="31" max="31" width="28.26953125" bestFit="1" customWidth="1"/>
    <col min="32" max="32" width="29.453125" bestFit="1" customWidth="1"/>
    <col min="33" max="33" width="28.90625" bestFit="1" customWidth="1"/>
    <col min="34" max="34" width="29.453125" bestFit="1" customWidth="1"/>
    <col min="35" max="35" width="29" bestFit="1" customWidth="1"/>
    <col min="36" max="36" width="28.26953125" bestFit="1" customWidth="1"/>
    <col min="37" max="37" width="29.453125" bestFit="1" customWidth="1"/>
    <col min="38" max="38" width="29.90625" bestFit="1" customWidth="1"/>
    <col min="39" max="39" width="30.453125" bestFit="1" customWidth="1"/>
    <col min="40" max="40" width="30.08984375" bestFit="1" customWidth="1"/>
    <col min="41" max="41" width="29.36328125" bestFit="1" customWidth="1"/>
    <col min="42" max="42" width="30.453125" bestFit="1" customWidth="1"/>
    <col min="43" max="43" width="31" bestFit="1" customWidth="1"/>
    <col min="44" max="44" width="31.6328125" bestFit="1" customWidth="1"/>
    <col min="45" max="45" width="31.08984375" bestFit="1" customWidth="1"/>
    <col min="46" max="46" width="30.453125" bestFit="1" customWidth="1"/>
    <col min="47" max="47" width="31.453125" bestFit="1" customWidth="1"/>
    <col min="48" max="48" width="31.90625" bestFit="1" customWidth="1"/>
    <col min="49" max="49" width="32.453125" bestFit="1" customWidth="1"/>
    <col min="50" max="50" width="32" bestFit="1" customWidth="1"/>
    <col min="51" max="51" width="31.26953125" bestFit="1" customWidth="1"/>
    <col min="52" max="52" width="32.36328125" bestFit="1" customWidth="1"/>
    <col min="53" max="53" width="31.90625" bestFit="1" customWidth="1"/>
    <col min="54" max="54" width="32.453125" bestFit="1" customWidth="1"/>
    <col min="55" max="55" width="32" bestFit="1" customWidth="1"/>
    <col min="56" max="56" width="31.26953125" bestFit="1" customWidth="1"/>
    <col min="57" max="57" width="32.36328125" bestFit="1" customWidth="1"/>
    <col min="58" max="58" width="32.90625" bestFit="1" customWidth="1"/>
    <col min="59" max="59" width="33.453125" bestFit="1" customWidth="1"/>
    <col min="60" max="60" width="33" bestFit="1" customWidth="1"/>
    <col min="61" max="61" width="32.26953125" bestFit="1" customWidth="1"/>
    <col min="62" max="62" width="33.453125" bestFit="1" customWidth="1"/>
    <col min="63" max="63" width="31.90625" bestFit="1" customWidth="1"/>
    <col min="64" max="64" width="28.453125" bestFit="1" customWidth="1"/>
    <col min="65" max="65" width="31.453125" bestFit="1" customWidth="1"/>
    <col min="67" max="67" width="25" bestFit="1" customWidth="1"/>
    <col min="68" max="68" width="15.6328125" bestFit="1" customWidth="1"/>
    <col min="69" max="69" width="10.08984375" bestFit="1" customWidth="1"/>
  </cols>
  <sheetData>
    <row r="1" spans="1:68" ht="15" thickBot="1">
      <c r="A1" s="1" t="s">
        <v>0</v>
      </c>
      <c r="B1" s="1" t="s">
        <v>1</v>
      </c>
      <c r="C1" s="13" t="s">
        <v>2</v>
      </c>
      <c r="D1" s="9" t="s">
        <v>3</v>
      </c>
      <c r="E1" s="10" t="s">
        <v>4</v>
      </c>
      <c r="F1" s="11" t="s">
        <v>5</v>
      </c>
      <c r="G1" s="12" t="s">
        <v>6</v>
      </c>
      <c r="H1" s="13" t="s">
        <v>7</v>
      </c>
      <c r="I1" s="9" t="s">
        <v>8</v>
      </c>
      <c r="J1" s="10" t="s">
        <v>9</v>
      </c>
      <c r="K1" s="11" t="s">
        <v>10</v>
      </c>
      <c r="L1" s="12" t="s">
        <v>11</v>
      </c>
      <c r="M1" s="13" t="s">
        <v>12</v>
      </c>
      <c r="N1" s="9" t="s">
        <v>13</v>
      </c>
      <c r="O1" s="10" t="s">
        <v>14</v>
      </c>
      <c r="P1" s="11" t="s">
        <v>15</v>
      </c>
      <c r="Q1" s="12" t="s">
        <v>16</v>
      </c>
      <c r="R1" s="13" t="s">
        <v>17</v>
      </c>
      <c r="S1" s="9" t="s">
        <v>18</v>
      </c>
      <c r="T1" s="10" t="s">
        <v>19</v>
      </c>
      <c r="U1" s="11" t="s">
        <v>20</v>
      </c>
      <c r="V1" s="12" t="s">
        <v>21</v>
      </c>
      <c r="W1" s="13" t="s">
        <v>22</v>
      </c>
      <c r="X1" s="9" t="s">
        <v>23</v>
      </c>
      <c r="Y1" s="10" t="s">
        <v>24</v>
      </c>
      <c r="Z1" s="11" t="s">
        <v>25</v>
      </c>
      <c r="AA1" s="12" t="s">
        <v>26</v>
      </c>
      <c r="AB1" s="13" t="s">
        <v>27</v>
      </c>
      <c r="AC1" s="9" t="s">
        <v>28</v>
      </c>
      <c r="AD1" s="10" t="s">
        <v>29</v>
      </c>
      <c r="AE1" s="11" t="s">
        <v>30</v>
      </c>
      <c r="AF1" s="12" t="s">
        <v>31</v>
      </c>
      <c r="AG1" s="13" t="s">
        <v>32</v>
      </c>
      <c r="AH1" s="9" t="s">
        <v>33</v>
      </c>
      <c r="AI1" s="10" t="s">
        <v>34</v>
      </c>
      <c r="AJ1" s="11" t="s">
        <v>35</v>
      </c>
      <c r="AK1" s="12" t="s">
        <v>36</v>
      </c>
      <c r="AL1" s="13" t="s">
        <v>37</v>
      </c>
      <c r="AM1" s="9" t="s">
        <v>38</v>
      </c>
      <c r="AN1" s="10" t="s">
        <v>39</v>
      </c>
      <c r="AO1" s="11" t="s">
        <v>40</v>
      </c>
      <c r="AP1" s="12" t="s">
        <v>41</v>
      </c>
      <c r="AQ1" s="13" t="s">
        <v>42</v>
      </c>
      <c r="AR1" s="9" t="s">
        <v>43</v>
      </c>
      <c r="AS1" s="10" t="s">
        <v>44</v>
      </c>
      <c r="AT1" s="11" t="s">
        <v>45</v>
      </c>
      <c r="AU1" s="12" t="s">
        <v>46</v>
      </c>
      <c r="AV1" s="13" t="s">
        <v>47</v>
      </c>
      <c r="AW1" s="9" t="s">
        <v>48</v>
      </c>
      <c r="AX1" s="10" t="s">
        <v>49</v>
      </c>
      <c r="AY1" s="11" t="s">
        <v>50</v>
      </c>
      <c r="AZ1" s="12" t="s">
        <v>51</v>
      </c>
      <c r="BA1" s="13" t="s">
        <v>52</v>
      </c>
      <c r="BB1" s="9" t="s">
        <v>53</v>
      </c>
      <c r="BC1" s="10" t="s">
        <v>54</v>
      </c>
      <c r="BD1" s="11" t="s">
        <v>55</v>
      </c>
      <c r="BE1" s="12" t="s">
        <v>56</v>
      </c>
      <c r="BF1" s="13" t="s">
        <v>57</v>
      </c>
      <c r="BG1" s="9" t="s">
        <v>58</v>
      </c>
      <c r="BH1" s="10" t="s">
        <v>59</v>
      </c>
      <c r="BI1" s="11" t="s">
        <v>60</v>
      </c>
      <c r="BJ1" s="12" t="s">
        <v>61</v>
      </c>
      <c r="BK1" s="3" t="s">
        <v>62</v>
      </c>
      <c r="BL1" s="5" t="s">
        <v>63</v>
      </c>
      <c r="BM1" s="7" t="s">
        <v>64</v>
      </c>
    </row>
    <row r="2" spans="1:68">
      <c r="A2">
        <v>1</v>
      </c>
      <c r="B2" s="2">
        <v>45298</v>
      </c>
      <c r="C2" s="31">
        <v>43</v>
      </c>
      <c r="D2" s="14">
        <v>30</v>
      </c>
      <c r="E2" s="15">
        <f>C2-D2</f>
        <v>13</v>
      </c>
      <c r="F2" s="16">
        <v>0</v>
      </c>
      <c r="G2" s="17">
        <v>291</v>
      </c>
      <c r="H2" s="18">
        <v>7</v>
      </c>
      <c r="I2" s="14">
        <v>4</v>
      </c>
      <c r="J2" s="15">
        <f>H2-I2</f>
        <v>3</v>
      </c>
      <c r="K2" s="16">
        <v>0</v>
      </c>
      <c r="L2" s="17">
        <f>_xlfn.FLOOR.MATH(G2*0.95)</f>
        <v>276</v>
      </c>
      <c r="M2" s="18">
        <v>18</v>
      </c>
      <c r="N2" s="14">
        <v>18</v>
      </c>
      <c r="O2" s="15">
        <f>M2-N2</f>
        <v>0</v>
      </c>
      <c r="P2" s="16">
        <v>0</v>
      </c>
      <c r="Q2" s="17">
        <f>_xlfn.FLOOR.MATH(G2*0.85)</f>
        <v>247</v>
      </c>
      <c r="R2" s="18">
        <v>43</v>
      </c>
      <c r="S2" s="14">
        <v>43</v>
      </c>
      <c r="T2" s="15">
        <f>R2-S2</f>
        <v>0</v>
      </c>
      <c r="U2" s="16">
        <v>0</v>
      </c>
      <c r="V2" s="19">
        <f>_xlfn.FLOOR.MATH(G2*0.7)</f>
        <v>203</v>
      </c>
      <c r="W2" s="31">
        <v>16</v>
      </c>
      <c r="X2" s="14">
        <v>16</v>
      </c>
      <c r="Y2" s="15">
        <f>W2-X2</f>
        <v>0</v>
      </c>
      <c r="Z2" s="16">
        <v>0</v>
      </c>
      <c r="AA2" s="17">
        <v>285</v>
      </c>
      <c r="AB2" s="18">
        <v>44</v>
      </c>
      <c r="AC2" s="14">
        <v>44</v>
      </c>
      <c r="AD2" s="15">
        <f>AB2-AC2</f>
        <v>0</v>
      </c>
      <c r="AE2" s="16">
        <v>0</v>
      </c>
      <c r="AF2" s="17">
        <f>_xlfn.FLOOR.MATH(AA2*0.95)</f>
        <v>270</v>
      </c>
      <c r="AG2" s="18">
        <v>47</v>
      </c>
      <c r="AH2" s="14">
        <v>44</v>
      </c>
      <c r="AI2" s="15">
        <f>AG2-AH2</f>
        <v>3</v>
      </c>
      <c r="AJ2" s="16">
        <v>0</v>
      </c>
      <c r="AK2" s="17">
        <f>_xlfn.FLOOR.MATH(AA2*0.85)</f>
        <v>242</v>
      </c>
      <c r="AL2" s="18">
        <v>38</v>
      </c>
      <c r="AM2" s="14">
        <v>33</v>
      </c>
      <c r="AN2" s="15">
        <f>AL2-AM2</f>
        <v>5</v>
      </c>
      <c r="AO2" s="16">
        <v>0</v>
      </c>
      <c r="AP2" s="19">
        <f>_xlfn.FLOOR.MATH(AA2*0.7)</f>
        <v>199</v>
      </c>
      <c r="AQ2" s="31">
        <v>47</v>
      </c>
      <c r="AR2" s="14">
        <v>44</v>
      </c>
      <c r="AS2" s="15">
        <f>AQ2-AR2</f>
        <v>3</v>
      </c>
      <c r="AT2" s="16">
        <v>0</v>
      </c>
      <c r="AU2" s="17">
        <v>318</v>
      </c>
      <c r="AV2" s="18">
        <v>34</v>
      </c>
      <c r="AW2" s="14">
        <v>31</v>
      </c>
      <c r="AX2" s="15">
        <f>AV2-AW2</f>
        <v>3</v>
      </c>
      <c r="AY2" s="16">
        <v>0</v>
      </c>
      <c r="AZ2" s="17">
        <f>_xlfn.FLOOR.MATH(AU2*0.95)</f>
        <v>302</v>
      </c>
      <c r="BA2" s="18">
        <v>6</v>
      </c>
      <c r="BB2" s="14">
        <v>3</v>
      </c>
      <c r="BC2" s="15">
        <f>BA2-BB2</f>
        <v>3</v>
      </c>
      <c r="BD2" s="16">
        <v>0</v>
      </c>
      <c r="BE2" s="17">
        <f>_xlfn.FLOOR.MATH(AU2*0.85)</f>
        <v>270</v>
      </c>
      <c r="BF2" s="18">
        <v>48</v>
      </c>
      <c r="BG2" s="14">
        <v>48</v>
      </c>
      <c r="BH2" s="15">
        <f>BF2-BG2</f>
        <v>0</v>
      </c>
      <c r="BI2" s="16">
        <v>0</v>
      </c>
      <c r="BJ2" s="19">
        <f>_xlfn.FLOOR.MATH(AU2*0.7)</f>
        <v>222</v>
      </c>
      <c r="BK2" s="4">
        <v>760</v>
      </c>
      <c r="BL2" s="6">
        <v>830</v>
      </c>
      <c r="BM2" s="8">
        <v>900</v>
      </c>
      <c r="BO2" t="s">
        <v>65</v>
      </c>
      <c r="BP2" s="34">
        <f>BM55</f>
        <v>160473614</v>
      </c>
    </row>
    <row r="3" spans="1:68">
      <c r="A3">
        <v>2</v>
      </c>
      <c r="B3" s="2">
        <v>45305</v>
      </c>
      <c r="C3" s="32">
        <v>33</v>
      </c>
      <c r="D3" s="20">
        <v>30</v>
      </c>
      <c r="E3" s="21">
        <f t="shared" ref="E3:E53" si="0">C3-D3</f>
        <v>3</v>
      </c>
      <c r="F3" s="22">
        <f>D2</f>
        <v>30</v>
      </c>
      <c r="G3" s="23">
        <v>252</v>
      </c>
      <c r="H3" s="24">
        <v>41</v>
      </c>
      <c r="I3" s="20">
        <v>40</v>
      </c>
      <c r="J3" s="21">
        <f t="shared" ref="J3:J53" si="1">H3-I3</f>
        <v>1</v>
      </c>
      <c r="K3" s="22">
        <v>0</v>
      </c>
      <c r="L3" s="23">
        <f>_xlfn.FLOOR.MATH(G3*0.95)</f>
        <v>239</v>
      </c>
      <c r="M3" s="24">
        <v>16</v>
      </c>
      <c r="N3" s="20">
        <v>16</v>
      </c>
      <c r="O3" s="21">
        <f t="shared" ref="O3:O53" si="2">M3-N3</f>
        <v>0</v>
      </c>
      <c r="P3" s="22">
        <v>0</v>
      </c>
      <c r="Q3" s="23">
        <f t="shared" ref="Q3:Q53" si="3">_xlfn.FLOOR.MATH(G3*0.85)</f>
        <v>214</v>
      </c>
      <c r="R3" s="24">
        <v>49</v>
      </c>
      <c r="S3" s="20">
        <v>49</v>
      </c>
      <c r="T3" s="21">
        <f t="shared" ref="T3:T53" si="4">R3-S3</f>
        <v>0</v>
      </c>
      <c r="U3" s="22">
        <v>0</v>
      </c>
      <c r="V3" s="25">
        <f t="shared" ref="V3:V52" si="5">_xlfn.FLOOR.MATH(G3*0.7)</f>
        <v>176</v>
      </c>
      <c r="W3" s="32">
        <v>5</v>
      </c>
      <c r="X3" s="20">
        <v>0</v>
      </c>
      <c r="Y3" s="21">
        <f t="shared" ref="Y3:Y53" si="6">W3-X3</f>
        <v>5</v>
      </c>
      <c r="Z3" s="22">
        <f>X2</f>
        <v>16</v>
      </c>
      <c r="AA3" s="23">
        <v>325</v>
      </c>
      <c r="AB3" s="24">
        <v>41</v>
      </c>
      <c r="AC3" s="20">
        <v>40</v>
      </c>
      <c r="AD3" s="21">
        <f t="shared" ref="AD3:AD53" si="7">AB3-AC3</f>
        <v>1</v>
      </c>
      <c r="AE3" s="22">
        <v>0</v>
      </c>
      <c r="AF3" s="23">
        <f t="shared" ref="AF3:AF53" si="8">_xlfn.FLOOR.MATH(AA3*0.95)</f>
        <v>308</v>
      </c>
      <c r="AG3" s="24">
        <v>16</v>
      </c>
      <c r="AH3" s="20">
        <v>11</v>
      </c>
      <c r="AI3" s="21">
        <f t="shared" ref="AI3:AI53" si="9">AG3-AH3</f>
        <v>5</v>
      </c>
      <c r="AJ3" s="22">
        <v>0</v>
      </c>
      <c r="AK3" s="23">
        <f t="shared" ref="AK3:AK53" si="10">_xlfn.FLOOR.MATH(AA3*0.85)</f>
        <v>276</v>
      </c>
      <c r="AL3" s="24">
        <v>48</v>
      </c>
      <c r="AM3" s="20">
        <v>48</v>
      </c>
      <c r="AN3" s="21">
        <f t="shared" ref="AN3:AN53" si="11">AL3-AM3</f>
        <v>0</v>
      </c>
      <c r="AO3" s="22">
        <v>0</v>
      </c>
      <c r="AP3" s="25">
        <f t="shared" ref="AP3:AP53" si="12">_xlfn.FLOOR.MATH(AA3*0.7)</f>
        <v>227</v>
      </c>
      <c r="AQ3" s="32">
        <v>44</v>
      </c>
      <c r="AR3" s="20">
        <v>22</v>
      </c>
      <c r="AS3" s="21">
        <f t="shared" ref="AS3:AS53" si="13">AQ3-AR3</f>
        <v>22</v>
      </c>
      <c r="AT3" s="22">
        <f>AR2</f>
        <v>44</v>
      </c>
      <c r="AU3" s="23">
        <v>303</v>
      </c>
      <c r="AV3" s="24">
        <v>43</v>
      </c>
      <c r="AW3" s="20">
        <v>42</v>
      </c>
      <c r="AX3" s="21">
        <f t="shared" ref="AX3:AX53" si="14">AV3-AW3</f>
        <v>1</v>
      </c>
      <c r="AY3" s="22">
        <v>0</v>
      </c>
      <c r="AZ3" s="23">
        <f t="shared" ref="AZ3:AZ53" si="15">_xlfn.FLOOR.MATH(AU3*0.95)</f>
        <v>287</v>
      </c>
      <c r="BA3" s="24">
        <v>37</v>
      </c>
      <c r="BB3" s="20">
        <v>31</v>
      </c>
      <c r="BC3" s="21">
        <f t="shared" ref="BC3:BC53" si="16">BA3-BB3</f>
        <v>6</v>
      </c>
      <c r="BD3" s="22">
        <v>0</v>
      </c>
      <c r="BE3" s="23">
        <f t="shared" ref="BE3:BE53" si="17">_xlfn.FLOOR.MATH(AU3*0.85)</f>
        <v>257</v>
      </c>
      <c r="BF3" s="24">
        <v>24</v>
      </c>
      <c r="BG3" s="20">
        <v>22</v>
      </c>
      <c r="BH3" s="21">
        <f t="shared" ref="BH3:BH53" si="18">BF3-BG3</f>
        <v>2</v>
      </c>
      <c r="BI3" s="22">
        <v>0</v>
      </c>
      <c r="BJ3" s="25">
        <f t="shared" ref="BJ3:BJ53" si="19">_xlfn.FLOOR.MATH(AU3*0.7)</f>
        <v>212</v>
      </c>
      <c r="BK3" s="4">
        <f>BK2-D2-I2-N2-S2+F3+K3+P3+U3</f>
        <v>695</v>
      </c>
      <c r="BL3" s="6">
        <f>BL2-X2-AC2-AH2-AM2+Z3+AE3+AJ3+AO3</f>
        <v>709</v>
      </c>
      <c r="BM3" s="8">
        <f>BM2-BG2-BB2-AW2-AR2+AT3+AY3+BD3+BI3</f>
        <v>818</v>
      </c>
      <c r="BP3" s="34"/>
    </row>
    <row r="4" spans="1:68">
      <c r="A4">
        <v>3</v>
      </c>
      <c r="B4" s="2">
        <v>45312</v>
      </c>
      <c r="C4" s="32">
        <v>19</v>
      </c>
      <c r="D4" s="20">
        <v>12</v>
      </c>
      <c r="E4" s="21">
        <f t="shared" si="0"/>
        <v>7</v>
      </c>
      <c r="F4" s="22">
        <f t="shared" ref="F4:F53" si="20">D3</f>
        <v>30</v>
      </c>
      <c r="G4" s="23">
        <v>176</v>
      </c>
      <c r="H4" s="24">
        <v>21</v>
      </c>
      <c r="I4" s="20">
        <v>20</v>
      </c>
      <c r="J4" s="21">
        <f t="shared" si="1"/>
        <v>1</v>
      </c>
      <c r="K4" s="22">
        <v>0</v>
      </c>
      <c r="L4" s="23">
        <f t="shared" ref="L4:L53" si="21">_xlfn.FLOOR.MATH(G4*0.95)</f>
        <v>167</v>
      </c>
      <c r="M4" s="24">
        <v>27</v>
      </c>
      <c r="N4" s="20">
        <v>0</v>
      </c>
      <c r="O4" s="21">
        <f t="shared" si="2"/>
        <v>27</v>
      </c>
      <c r="P4" s="22">
        <v>0</v>
      </c>
      <c r="Q4" s="23">
        <f t="shared" si="3"/>
        <v>149</v>
      </c>
      <c r="R4" s="24">
        <v>46</v>
      </c>
      <c r="S4" s="20">
        <v>44</v>
      </c>
      <c r="T4" s="21">
        <f t="shared" si="4"/>
        <v>2</v>
      </c>
      <c r="U4" s="22">
        <v>0</v>
      </c>
      <c r="V4" s="25">
        <f t="shared" si="5"/>
        <v>123</v>
      </c>
      <c r="W4" s="32">
        <v>48</v>
      </c>
      <c r="X4" s="20">
        <v>48</v>
      </c>
      <c r="Y4" s="21">
        <f t="shared" si="6"/>
        <v>0</v>
      </c>
      <c r="Z4" s="22">
        <f t="shared" ref="Z4:Z53" si="22">X3</f>
        <v>0</v>
      </c>
      <c r="AA4" s="23">
        <v>243</v>
      </c>
      <c r="AB4" s="24">
        <v>40</v>
      </c>
      <c r="AC4" s="20">
        <v>30</v>
      </c>
      <c r="AD4" s="21">
        <f t="shared" si="7"/>
        <v>10</v>
      </c>
      <c r="AE4" s="22">
        <v>0</v>
      </c>
      <c r="AF4" s="23">
        <f t="shared" si="8"/>
        <v>230</v>
      </c>
      <c r="AG4" s="24">
        <v>30</v>
      </c>
      <c r="AH4" s="20">
        <v>28</v>
      </c>
      <c r="AI4" s="21">
        <f t="shared" si="9"/>
        <v>2</v>
      </c>
      <c r="AJ4" s="22">
        <v>0</v>
      </c>
      <c r="AK4" s="23">
        <f t="shared" si="10"/>
        <v>206</v>
      </c>
      <c r="AL4" s="24">
        <v>39</v>
      </c>
      <c r="AM4" s="20">
        <v>32</v>
      </c>
      <c r="AN4" s="21">
        <f t="shared" si="11"/>
        <v>7</v>
      </c>
      <c r="AO4" s="22">
        <v>0</v>
      </c>
      <c r="AP4" s="25">
        <f t="shared" si="12"/>
        <v>170</v>
      </c>
      <c r="AQ4" s="32">
        <v>30</v>
      </c>
      <c r="AR4" s="20">
        <v>16</v>
      </c>
      <c r="AS4" s="21">
        <f t="shared" si="13"/>
        <v>14</v>
      </c>
      <c r="AT4" s="22">
        <f t="shared" ref="AT4:AT53" si="23">AR3</f>
        <v>22</v>
      </c>
      <c r="AU4" s="23">
        <v>217</v>
      </c>
      <c r="AV4" s="24">
        <v>35</v>
      </c>
      <c r="AW4" s="20">
        <v>34</v>
      </c>
      <c r="AX4" s="21">
        <f t="shared" si="14"/>
        <v>1</v>
      </c>
      <c r="AY4" s="22">
        <v>0</v>
      </c>
      <c r="AZ4" s="23">
        <f t="shared" si="15"/>
        <v>206</v>
      </c>
      <c r="BA4" s="24">
        <v>37</v>
      </c>
      <c r="BB4" s="20">
        <v>33</v>
      </c>
      <c r="BC4" s="21">
        <f t="shared" si="16"/>
        <v>4</v>
      </c>
      <c r="BD4" s="22">
        <v>0</v>
      </c>
      <c r="BE4" s="23">
        <f t="shared" si="17"/>
        <v>184</v>
      </c>
      <c r="BF4" s="24">
        <v>18</v>
      </c>
      <c r="BG4" s="20">
        <v>15</v>
      </c>
      <c r="BH4" s="21">
        <f t="shared" si="18"/>
        <v>3</v>
      </c>
      <c r="BI4" s="22">
        <v>0</v>
      </c>
      <c r="BJ4" s="25">
        <f t="shared" si="19"/>
        <v>151</v>
      </c>
      <c r="BK4" s="4">
        <f t="shared" ref="BK4:BK53" si="24">BK3-D3-I3-N3-S3+F4+K4+P4+U4</f>
        <v>590</v>
      </c>
      <c r="BL4" s="6">
        <f t="shared" ref="BL4:BL53" si="25">BL3-X3-AC3-AH3-AM3+Z4+AE4+AJ4+AO4</f>
        <v>610</v>
      </c>
      <c r="BM4" s="8">
        <f t="shared" ref="BM4:BM53" si="26">BM3-BG3-BB3-AW3-AR3+AT4+AY4+BD4+BI4</f>
        <v>723</v>
      </c>
      <c r="BO4" t="s">
        <v>66</v>
      </c>
      <c r="BP4" s="34">
        <f>V56</f>
        <v>45274005</v>
      </c>
    </row>
    <row r="5" spans="1:68">
      <c r="A5">
        <v>4</v>
      </c>
      <c r="B5" s="2">
        <v>45319</v>
      </c>
      <c r="C5" s="32">
        <v>47</v>
      </c>
      <c r="D5" s="20">
        <v>39</v>
      </c>
      <c r="E5" s="21">
        <f t="shared" si="0"/>
        <v>8</v>
      </c>
      <c r="F5" s="22">
        <f t="shared" si="20"/>
        <v>12</v>
      </c>
      <c r="G5" s="23">
        <v>286</v>
      </c>
      <c r="H5" s="24">
        <v>6</v>
      </c>
      <c r="I5" s="20">
        <v>5</v>
      </c>
      <c r="J5" s="21">
        <f t="shared" si="1"/>
        <v>1</v>
      </c>
      <c r="K5" s="22">
        <v>0</v>
      </c>
      <c r="L5" s="23">
        <f t="shared" si="21"/>
        <v>271</v>
      </c>
      <c r="M5" s="24">
        <v>19</v>
      </c>
      <c r="N5" s="20">
        <v>14</v>
      </c>
      <c r="O5" s="21">
        <f t="shared" si="2"/>
        <v>5</v>
      </c>
      <c r="P5" s="22">
        <v>0</v>
      </c>
      <c r="Q5" s="23">
        <f t="shared" si="3"/>
        <v>243</v>
      </c>
      <c r="R5" s="24">
        <v>43</v>
      </c>
      <c r="S5" s="20">
        <v>41</v>
      </c>
      <c r="T5" s="21">
        <f t="shared" si="4"/>
        <v>2</v>
      </c>
      <c r="U5" s="22">
        <v>0</v>
      </c>
      <c r="V5" s="25">
        <f t="shared" si="5"/>
        <v>200</v>
      </c>
      <c r="W5" s="32">
        <v>9</v>
      </c>
      <c r="X5" s="20">
        <v>0</v>
      </c>
      <c r="Y5" s="21">
        <f t="shared" si="6"/>
        <v>9</v>
      </c>
      <c r="Z5" s="22">
        <f t="shared" si="22"/>
        <v>48</v>
      </c>
      <c r="AA5" s="23">
        <v>224</v>
      </c>
      <c r="AB5" s="24">
        <v>28</v>
      </c>
      <c r="AC5" s="20">
        <v>20</v>
      </c>
      <c r="AD5" s="21">
        <f t="shared" si="7"/>
        <v>8</v>
      </c>
      <c r="AE5" s="22">
        <v>0</v>
      </c>
      <c r="AF5" s="23">
        <f t="shared" si="8"/>
        <v>212</v>
      </c>
      <c r="AG5" s="24">
        <v>17</v>
      </c>
      <c r="AH5" s="20">
        <v>12</v>
      </c>
      <c r="AI5" s="21">
        <f t="shared" si="9"/>
        <v>5</v>
      </c>
      <c r="AJ5" s="22">
        <v>0</v>
      </c>
      <c r="AK5" s="23">
        <f t="shared" si="10"/>
        <v>190</v>
      </c>
      <c r="AL5" s="24">
        <v>26</v>
      </c>
      <c r="AM5" s="20">
        <v>22</v>
      </c>
      <c r="AN5" s="21">
        <f t="shared" si="11"/>
        <v>4</v>
      </c>
      <c r="AO5" s="22">
        <v>0</v>
      </c>
      <c r="AP5" s="25">
        <f t="shared" si="12"/>
        <v>156</v>
      </c>
      <c r="AQ5" s="32">
        <v>27</v>
      </c>
      <c r="AR5" s="20">
        <v>18</v>
      </c>
      <c r="AS5" s="21">
        <f t="shared" si="13"/>
        <v>9</v>
      </c>
      <c r="AT5" s="22">
        <f t="shared" si="23"/>
        <v>16</v>
      </c>
      <c r="AU5" s="23">
        <v>251</v>
      </c>
      <c r="AV5" s="24">
        <v>22</v>
      </c>
      <c r="AW5" s="20">
        <v>19</v>
      </c>
      <c r="AX5" s="21">
        <f t="shared" si="14"/>
        <v>3</v>
      </c>
      <c r="AY5" s="22">
        <v>0</v>
      </c>
      <c r="AZ5" s="23">
        <f t="shared" si="15"/>
        <v>238</v>
      </c>
      <c r="BA5" s="24">
        <v>45</v>
      </c>
      <c r="BB5" s="20">
        <v>44</v>
      </c>
      <c r="BC5" s="21">
        <f t="shared" si="16"/>
        <v>1</v>
      </c>
      <c r="BD5" s="22">
        <v>0</v>
      </c>
      <c r="BE5" s="23">
        <f t="shared" si="17"/>
        <v>213</v>
      </c>
      <c r="BF5" s="24">
        <v>6</v>
      </c>
      <c r="BG5" s="20">
        <v>0</v>
      </c>
      <c r="BH5" s="21">
        <f t="shared" si="18"/>
        <v>6</v>
      </c>
      <c r="BI5" s="22">
        <v>0</v>
      </c>
      <c r="BJ5" s="25">
        <f t="shared" si="19"/>
        <v>175</v>
      </c>
      <c r="BK5" s="4">
        <f t="shared" si="24"/>
        <v>526</v>
      </c>
      <c r="BL5" s="6">
        <f t="shared" si="25"/>
        <v>520</v>
      </c>
      <c r="BM5" s="8">
        <f t="shared" si="26"/>
        <v>641</v>
      </c>
      <c r="BO5" t="s">
        <v>67</v>
      </c>
      <c r="BP5" s="34">
        <f>AP56</f>
        <v>61785689</v>
      </c>
    </row>
    <row r="6" spans="1:68">
      <c r="A6">
        <v>5</v>
      </c>
      <c r="B6" s="2">
        <v>45326</v>
      </c>
      <c r="C6" s="32">
        <v>12</v>
      </c>
      <c r="D6" s="20">
        <v>9</v>
      </c>
      <c r="E6" s="21">
        <f t="shared" si="0"/>
        <v>3</v>
      </c>
      <c r="F6" s="22">
        <f t="shared" si="20"/>
        <v>39</v>
      </c>
      <c r="G6" s="23">
        <v>164</v>
      </c>
      <c r="H6" s="24">
        <v>6</v>
      </c>
      <c r="I6" s="20">
        <v>3</v>
      </c>
      <c r="J6" s="21">
        <f t="shared" si="1"/>
        <v>3</v>
      </c>
      <c r="K6" s="22">
        <f>I2</f>
        <v>4</v>
      </c>
      <c r="L6" s="23">
        <f t="shared" si="21"/>
        <v>155</v>
      </c>
      <c r="M6" s="24">
        <v>32</v>
      </c>
      <c r="N6" s="20">
        <v>32</v>
      </c>
      <c r="O6" s="21">
        <f t="shared" si="2"/>
        <v>0</v>
      </c>
      <c r="P6" s="22">
        <v>0</v>
      </c>
      <c r="Q6" s="23">
        <f t="shared" si="3"/>
        <v>139</v>
      </c>
      <c r="R6" s="24">
        <v>18</v>
      </c>
      <c r="S6" s="20">
        <v>15</v>
      </c>
      <c r="T6" s="21">
        <f t="shared" si="4"/>
        <v>3</v>
      </c>
      <c r="U6" s="22">
        <v>0</v>
      </c>
      <c r="V6" s="25">
        <f t="shared" si="5"/>
        <v>114</v>
      </c>
      <c r="W6" s="32">
        <v>34</v>
      </c>
      <c r="X6" s="20">
        <v>31</v>
      </c>
      <c r="Y6" s="21">
        <f t="shared" si="6"/>
        <v>3</v>
      </c>
      <c r="Z6" s="22">
        <f t="shared" si="22"/>
        <v>0</v>
      </c>
      <c r="AA6" s="23">
        <v>344</v>
      </c>
      <c r="AB6" s="24">
        <v>35</v>
      </c>
      <c r="AC6" s="20">
        <v>32</v>
      </c>
      <c r="AD6" s="21">
        <f t="shared" si="7"/>
        <v>3</v>
      </c>
      <c r="AE6" s="22">
        <f>AC2</f>
        <v>44</v>
      </c>
      <c r="AF6" s="23">
        <f t="shared" si="8"/>
        <v>326</v>
      </c>
      <c r="AG6" s="24">
        <v>44</v>
      </c>
      <c r="AH6" s="20">
        <v>41</v>
      </c>
      <c r="AI6" s="21">
        <f t="shared" si="9"/>
        <v>3</v>
      </c>
      <c r="AJ6" s="22">
        <v>0</v>
      </c>
      <c r="AK6" s="23">
        <f t="shared" si="10"/>
        <v>292</v>
      </c>
      <c r="AL6" s="24">
        <v>48</v>
      </c>
      <c r="AM6" s="20">
        <v>45</v>
      </c>
      <c r="AN6" s="21">
        <f t="shared" si="11"/>
        <v>3</v>
      </c>
      <c r="AO6" s="22">
        <v>0</v>
      </c>
      <c r="AP6" s="25">
        <f t="shared" si="12"/>
        <v>240</v>
      </c>
      <c r="AQ6" s="32">
        <v>48</v>
      </c>
      <c r="AR6" s="20">
        <v>26</v>
      </c>
      <c r="AS6" s="21">
        <f t="shared" si="13"/>
        <v>22</v>
      </c>
      <c r="AT6" s="22">
        <f t="shared" si="23"/>
        <v>18</v>
      </c>
      <c r="AU6" s="23">
        <v>312</v>
      </c>
      <c r="AV6" s="24">
        <v>40</v>
      </c>
      <c r="AW6" s="20">
        <v>40</v>
      </c>
      <c r="AX6" s="21">
        <f t="shared" si="14"/>
        <v>0</v>
      </c>
      <c r="AY6" s="22">
        <f>AW2</f>
        <v>31</v>
      </c>
      <c r="AZ6" s="23">
        <f t="shared" si="15"/>
        <v>296</v>
      </c>
      <c r="BA6" s="24">
        <v>17</v>
      </c>
      <c r="BB6" s="20">
        <v>11</v>
      </c>
      <c r="BC6" s="21">
        <f t="shared" si="16"/>
        <v>6</v>
      </c>
      <c r="BD6" s="22">
        <v>0</v>
      </c>
      <c r="BE6" s="23">
        <f t="shared" si="17"/>
        <v>265</v>
      </c>
      <c r="BF6" s="24">
        <v>13</v>
      </c>
      <c r="BG6" s="20">
        <v>11</v>
      </c>
      <c r="BH6" s="21">
        <f t="shared" si="18"/>
        <v>2</v>
      </c>
      <c r="BI6" s="22">
        <v>0</v>
      </c>
      <c r="BJ6" s="25">
        <f t="shared" si="19"/>
        <v>218</v>
      </c>
      <c r="BK6" s="4">
        <f t="shared" si="24"/>
        <v>470</v>
      </c>
      <c r="BL6" s="6">
        <f t="shared" si="25"/>
        <v>510</v>
      </c>
      <c r="BM6" s="8">
        <f t="shared" si="26"/>
        <v>609</v>
      </c>
      <c r="BO6" t="s">
        <v>68</v>
      </c>
      <c r="BP6" s="34">
        <f>BJ56</f>
        <v>53413920</v>
      </c>
    </row>
    <row r="7" spans="1:68">
      <c r="A7">
        <v>6</v>
      </c>
      <c r="B7" s="2">
        <v>45333</v>
      </c>
      <c r="C7" s="32">
        <v>25</v>
      </c>
      <c r="D7" s="20">
        <v>20</v>
      </c>
      <c r="E7" s="21">
        <f t="shared" si="0"/>
        <v>5</v>
      </c>
      <c r="F7" s="22">
        <f t="shared" si="20"/>
        <v>9</v>
      </c>
      <c r="G7" s="23">
        <v>239</v>
      </c>
      <c r="H7" s="24">
        <v>32</v>
      </c>
      <c r="I7" s="20">
        <v>26</v>
      </c>
      <c r="J7" s="21">
        <f t="shared" si="1"/>
        <v>6</v>
      </c>
      <c r="K7" s="22">
        <f t="shared" ref="K7:K53" si="27">I3</f>
        <v>40</v>
      </c>
      <c r="L7" s="23">
        <f t="shared" si="21"/>
        <v>227</v>
      </c>
      <c r="M7" s="24">
        <v>38</v>
      </c>
      <c r="N7" s="20">
        <v>30</v>
      </c>
      <c r="O7" s="21">
        <f t="shared" si="2"/>
        <v>8</v>
      </c>
      <c r="P7" s="22">
        <v>0</v>
      </c>
      <c r="Q7" s="23">
        <f t="shared" si="3"/>
        <v>203</v>
      </c>
      <c r="R7" s="24">
        <v>35</v>
      </c>
      <c r="S7" s="20">
        <v>31</v>
      </c>
      <c r="T7" s="21">
        <f t="shared" si="4"/>
        <v>4</v>
      </c>
      <c r="U7" s="22">
        <v>0</v>
      </c>
      <c r="V7" s="25">
        <f t="shared" si="5"/>
        <v>167</v>
      </c>
      <c r="W7" s="32">
        <v>34</v>
      </c>
      <c r="X7" s="20">
        <v>33</v>
      </c>
      <c r="Y7" s="21">
        <f t="shared" si="6"/>
        <v>1</v>
      </c>
      <c r="Z7" s="22">
        <f t="shared" si="22"/>
        <v>31</v>
      </c>
      <c r="AA7" s="23">
        <v>212</v>
      </c>
      <c r="AB7" s="24">
        <v>10</v>
      </c>
      <c r="AC7" s="20">
        <v>0</v>
      </c>
      <c r="AD7" s="21">
        <f t="shared" si="7"/>
        <v>10</v>
      </c>
      <c r="AE7" s="22">
        <f t="shared" ref="AE7:AE53" si="28">AC3</f>
        <v>40</v>
      </c>
      <c r="AF7" s="23">
        <f t="shared" si="8"/>
        <v>201</v>
      </c>
      <c r="AG7" s="24">
        <v>22</v>
      </c>
      <c r="AH7" s="20">
        <v>22</v>
      </c>
      <c r="AI7" s="21">
        <f t="shared" si="9"/>
        <v>0</v>
      </c>
      <c r="AJ7" s="22">
        <v>0</v>
      </c>
      <c r="AK7" s="23">
        <f t="shared" si="10"/>
        <v>180</v>
      </c>
      <c r="AL7" s="24">
        <v>28</v>
      </c>
      <c r="AM7" s="20">
        <v>28</v>
      </c>
      <c r="AN7" s="21">
        <f t="shared" si="11"/>
        <v>0</v>
      </c>
      <c r="AO7" s="22">
        <v>0</v>
      </c>
      <c r="AP7" s="25">
        <f t="shared" si="12"/>
        <v>148</v>
      </c>
      <c r="AQ7" s="32">
        <v>43</v>
      </c>
      <c r="AR7" s="20">
        <v>42</v>
      </c>
      <c r="AS7" s="21">
        <f t="shared" si="13"/>
        <v>1</v>
      </c>
      <c r="AT7" s="22">
        <f t="shared" si="23"/>
        <v>26</v>
      </c>
      <c r="AU7" s="23">
        <v>269</v>
      </c>
      <c r="AV7" s="24">
        <v>6</v>
      </c>
      <c r="AW7" s="20">
        <v>0</v>
      </c>
      <c r="AX7" s="21">
        <f t="shared" si="14"/>
        <v>6</v>
      </c>
      <c r="AY7" s="22">
        <f t="shared" ref="AY7:AY53" si="29">AW3</f>
        <v>42</v>
      </c>
      <c r="AZ7" s="23">
        <f t="shared" si="15"/>
        <v>255</v>
      </c>
      <c r="BA7" s="24">
        <v>34</v>
      </c>
      <c r="BB7" s="20">
        <v>33</v>
      </c>
      <c r="BC7" s="21">
        <f t="shared" si="16"/>
        <v>1</v>
      </c>
      <c r="BD7" s="22">
        <v>0</v>
      </c>
      <c r="BE7" s="23">
        <f t="shared" si="17"/>
        <v>228</v>
      </c>
      <c r="BF7" s="24">
        <v>41</v>
      </c>
      <c r="BG7" s="20">
        <v>41</v>
      </c>
      <c r="BH7" s="21">
        <f t="shared" si="18"/>
        <v>0</v>
      </c>
      <c r="BI7" s="22">
        <v>0</v>
      </c>
      <c r="BJ7" s="25">
        <f>_xlfn.FLOOR.MATH(AU7*0.7)</f>
        <v>188</v>
      </c>
      <c r="BK7" s="4">
        <f t="shared" si="24"/>
        <v>460</v>
      </c>
      <c r="BL7" s="6">
        <f t="shared" si="25"/>
        <v>432</v>
      </c>
      <c r="BM7" s="8">
        <f t="shared" si="26"/>
        <v>589</v>
      </c>
      <c r="BP7" s="34"/>
    </row>
    <row r="8" spans="1:68">
      <c r="A8">
        <v>7</v>
      </c>
      <c r="B8" s="2">
        <v>45340</v>
      </c>
      <c r="C8" s="32">
        <v>43</v>
      </c>
      <c r="D8" s="20">
        <v>43</v>
      </c>
      <c r="E8" s="21">
        <f t="shared" si="0"/>
        <v>0</v>
      </c>
      <c r="F8" s="22">
        <f t="shared" si="20"/>
        <v>20</v>
      </c>
      <c r="G8" s="23">
        <v>191</v>
      </c>
      <c r="H8" s="24">
        <v>27</v>
      </c>
      <c r="I8" s="20">
        <v>24</v>
      </c>
      <c r="J8" s="21">
        <f t="shared" si="1"/>
        <v>3</v>
      </c>
      <c r="K8" s="22">
        <f t="shared" si="27"/>
        <v>20</v>
      </c>
      <c r="L8" s="23">
        <f t="shared" si="21"/>
        <v>181</v>
      </c>
      <c r="M8" s="24">
        <v>6</v>
      </c>
      <c r="N8" s="20">
        <v>3</v>
      </c>
      <c r="O8" s="21">
        <f t="shared" si="2"/>
        <v>3</v>
      </c>
      <c r="P8" s="22">
        <v>0</v>
      </c>
      <c r="Q8" s="23">
        <f t="shared" si="3"/>
        <v>162</v>
      </c>
      <c r="R8" s="24">
        <v>9</v>
      </c>
      <c r="S8" s="20">
        <v>7</v>
      </c>
      <c r="T8" s="21">
        <f t="shared" si="4"/>
        <v>2</v>
      </c>
      <c r="U8" s="22">
        <v>0</v>
      </c>
      <c r="V8" s="25">
        <f t="shared" si="5"/>
        <v>133</v>
      </c>
      <c r="W8" s="32">
        <v>21</v>
      </c>
      <c r="X8" s="20">
        <v>21</v>
      </c>
      <c r="Y8" s="21">
        <f t="shared" si="6"/>
        <v>0</v>
      </c>
      <c r="Z8" s="22">
        <f t="shared" si="22"/>
        <v>33</v>
      </c>
      <c r="AA8" s="23">
        <v>224</v>
      </c>
      <c r="AB8" s="24">
        <v>6</v>
      </c>
      <c r="AC8" s="20">
        <v>0</v>
      </c>
      <c r="AD8" s="21">
        <f t="shared" si="7"/>
        <v>6</v>
      </c>
      <c r="AE8" s="22">
        <f t="shared" si="28"/>
        <v>30</v>
      </c>
      <c r="AF8" s="23">
        <f t="shared" si="8"/>
        <v>212</v>
      </c>
      <c r="AG8" s="24">
        <v>29</v>
      </c>
      <c r="AH8" s="20">
        <v>21</v>
      </c>
      <c r="AI8" s="21">
        <f t="shared" si="9"/>
        <v>8</v>
      </c>
      <c r="AJ8" s="22">
        <v>0</v>
      </c>
      <c r="AK8" s="23">
        <f t="shared" si="10"/>
        <v>190</v>
      </c>
      <c r="AL8" s="24">
        <v>21</v>
      </c>
      <c r="AM8" s="20">
        <v>20</v>
      </c>
      <c r="AN8" s="21">
        <f t="shared" si="11"/>
        <v>1</v>
      </c>
      <c r="AO8" s="22">
        <v>0</v>
      </c>
      <c r="AP8" s="25">
        <f t="shared" si="12"/>
        <v>156</v>
      </c>
      <c r="AQ8" s="32">
        <v>19</v>
      </c>
      <c r="AR8" s="20">
        <v>17</v>
      </c>
      <c r="AS8" s="21">
        <f t="shared" si="13"/>
        <v>2</v>
      </c>
      <c r="AT8" s="22">
        <f t="shared" si="23"/>
        <v>42</v>
      </c>
      <c r="AU8" s="23">
        <v>325</v>
      </c>
      <c r="AV8" s="24">
        <v>18</v>
      </c>
      <c r="AW8" s="20">
        <v>0</v>
      </c>
      <c r="AX8" s="21">
        <f t="shared" si="14"/>
        <v>18</v>
      </c>
      <c r="AY8" s="22">
        <f t="shared" si="29"/>
        <v>34</v>
      </c>
      <c r="AZ8" s="23">
        <f t="shared" si="15"/>
        <v>308</v>
      </c>
      <c r="BA8" s="24">
        <v>37</v>
      </c>
      <c r="BB8" s="20">
        <v>35</v>
      </c>
      <c r="BC8" s="21">
        <f t="shared" si="16"/>
        <v>2</v>
      </c>
      <c r="BD8" s="22">
        <v>0</v>
      </c>
      <c r="BE8" s="23">
        <f t="shared" si="17"/>
        <v>276</v>
      </c>
      <c r="BF8" s="24">
        <v>24</v>
      </c>
      <c r="BG8" s="20">
        <v>22</v>
      </c>
      <c r="BH8" s="21">
        <f t="shared" si="18"/>
        <v>2</v>
      </c>
      <c r="BI8" s="22">
        <v>0</v>
      </c>
      <c r="BJ8" s="25">
        <f t="shared" si="19"/>
        <v>227</v>
      </c>
      <c r="BK8" s="4">
        <f t="shared" si="24"/>
        <v>393</v>
      </c>
      <c r="BL8" s="6">
        <f t="shared" si="25"/>
        <v>412</v>
      </c>
      <c r="BM8" s="8">
        <f t="shared" si="26"/>
        <v>549</v>
      </c>
      <c r="BO8" t="s">
        <v>69</v>
      </c>
      <c r="BP8" s="34">
        <v>12000</v>
      </c>
    </row>
    <row r="9" spans="1:68">
      <c r="A9">
        <v>8</v>
      </c>
      <c r="B9" s="2">
        <v>45347</v>
      </c>
      <c r="C9" s="32">
        <v>23</v>
      </c>
      <c r="D9" s="20">
        <v>18</v>
      </c>
      <c r="E9" s="21">
        <f t="shared" si="0"/>
        <v>5</v>
      </c>
      <c r="F9" s="22">
        <f t="shared" si="20"/>
        <v>43</v>
      </c>
      <c r="G9" s="23">
        <v>273</v>
      </c>
      <c r="H9" s="24">
        <v>41</v>
      </c>
      <c r="I9" s="20">
        <v>38</v>
      </c>
      <c r="J9" s="21">
        <f t="shared" si="1"/>
        <v>3</v>
      </c>
      <c r="K9" s="22">
        <f t="shared" si="27"/>
        <v>5</v>
      </c>
      <c r="L9" s="23">
        <f t="shared" si="21"/>
        <v>259</v>
      </c>
      <c r="M9" s="24">
        <v>36</v>
      </c>
      <c r="N9" s="20">
        <v>32</v>
      </c>
      <c r="O9" s="21">
        <f t="shared" si="2"/>
        <v>4</v>
      </c>
      <c r="P9" s="22">
        <v>0</v>
      </c>
      <c r="Q9" s="23">
        <f t="shared" si="3"/>
        <v>232</v>
      </c>
      <c r="R9" s="24">
        <v>39</v>
      </c>
      <c r="S9" s="20">
        <v>39</v>
      </c>
      <c r="T9" s="21">
        <f t="shared" si="4"/>
        <v>0</v>
      </c>
      <c r="U9" s="22">
        <v>0</v>
      </c>
      <c r="V9" s="25">
        <f t="shared" si="5"/>
        <v>191</v>
      </c>
      <c r="W9" s="32">
        <v>27</v>
      </c>
      <c r="X9" s="20">
        <v>22</v>
      </c>
      <c r="Y9" s="21">
        <f t="shared" si="6"/>
        <v>5</v>
      </c>
      <c r="Z9" s="22">
        <f t="shared" si="22"/>
        <v>21</v>
      </c>
      <c r="AA9" s="23">
        <v>267</v>
      </c>
      <c r="AB9" s="24">
        <v>24</v>
      </c>
      <c r="AC9" s="20">
        <v>24</v>
      </c>
      <c r="AD9" s="21">
        <f t="shared" si="7"/>
        <v>0</v>
      </c>
      <c r="AE9" s="22">
        <f t="shared" si="28"/>
        <v>20</v>
      </c>
      <c r="AF9" s="23">
        <f t="shared" si="8"/>
        <v>253</v>
      </c>
      <c r="AG9" s="24">
        <v>37</v>
      </c>
      <c r="AH9" s="20">
        <v>36</v>
      </c>
      <c r="AI9" s="21">
        <f t="shared" si="9"/>
        <v>1</v>
      </c>
      <c r="AJ9" s="22">
        <v>0</v>
      </c>
      <c r="AK9" s="23">
        <f t="shared" si="10"/>
        <v>226</v>
      </c>
      <c r="AL9" s="24">
        <v>14</v>
      </c>
      <c r="AM9" s="20">
        <v>0</v>
      </c>
      <c r="AN9" s="21">
        <f t="shared" si="11"/>
        <v>14</v>
      </c>
      <c r="AO9" s="22">
        <v>0</v>
      </c>
      <c r="AP9" s="25">
        <f t="shared" si="12"/>
        <v>186</v>
      </c>
      <c r="AQ9" s="32">
        <v>8</v>
      </c>
      <c r="AR9" s="20">
        <v>5</v>
      </c>
      <c r="AS9" s="21">
        <f t="shared" si="13"/>
        <v>3</v>
      </c>
      <c r="AT9" s="22">
        <f t="shared" si="23"/>
        <v>17</v>
      </c>
      <c r="AU9" s="23">
        <v>216</v>
      </c>
      <c r="AV9" s="24">
        <v>17</v>
      </c>
      <c r="AW9" s="20">
        <v>17</v>
      </c>
      <c r="AX9" s="21">
        <f t="shared" si="14"/>
        <v>0</v>
      </c>
      <c r="AY9" s="22">
        <f t="shared" si="29"/>
        <v>19</v>
      </c>
      <c r="AZ9" s="23">
        <f t="shared" si="15"/>
        <v>205</v>
      </c>
      <c r="BA9" s="24">
        <v>17</v>
      </c>
      <c r="BB9" s="20">
        <v>14</v>
      </c>
      <c r="BC9" s="21">
        <f t="shared" si="16"/>
        <v>3</v>
      </c>
      <c r="BD9" s="22">
        <v>0</v>
      </c>
      <c r="BE9" s="23">
        <f t="shared" si="17"/>
        <v>183</v>
      </c>
      <c r="BF9" s="24">
        <v>30</v>
      </c>
      <c r="BG9" s="20">
        <v>29</v>
      </c>
      <c r="BH9" s="21">
        <f t="shared" si="18"/>
        <v>1</v>
      </c>
      <c r="BI9" s="22">
        <v>0</v>
      </c>
      <c r="BJ9" s="25">
        <f t="shared" si="19"/>
        <v>151</v>
      </c>
      <c r="BK9" s="4">
        <f t="shared" si="24"/>
        <v>364</v>
      </c>
      <c r="BL9" s="6">
        <f t="shared" si="25"/>
        <v>391</v>
      </c>
      <c r="BM9" s="8">
        <f t="shared" si="26"/>
        <v>511</v>
      </c>
      <c r="BO9" t="s">
        <v>70</v>
      </c>
      <c r="BP9" s="34">
        <v>15000</v>
      </c>
    </row>
    <row r="10" spans="1:68">
      <c r="A10">
        <v>9</v>
      </c>
      <c r="B10" s="2">
        <v>45354</v>
      </c>
      <c r="C10" s="32">
        <v>27</v>
      </c>
      <c r="D10" s="20">
        <v>20</v>
      </c>
      <c r="E10" s="21">
        <f t="shared" si="0"/>
        <v>7</v>
      </c>
      <c r="F10" s="22">
        <f t="shared" si="20"/>
        <v>18</v>
      </c>
      <c r="G10" s="23">
        <v>212</v>
      </c>
      <c r="H10" s="24">
        <v>36</v>
      </c>
      <c r="I10" s="20">
        <v>27</v>
      </c>
      <c r="J10" s="21">
        <f t="shared" si="1"/>
        <v>9</v>
      </c>
      <c r="K10" s="22">
        <f t="shared" si="27"/>
        <v>3</v>
      </c>
      <c r="L10" s="23">
        <f t="shared" si="21"/>
        <v>201</v>
      </c>
      <c r="M10" s="24">
        <v>27</v>
      </c>
      <c r="N10" s="20">
        <v>27</v>
      </c>
      <c r="O10" s="21">
        <f t="shared" si="2"/>
        <v>0</v>
      </c>
      <c r="P10" s="22">
        <f>N2</f>
        <v>18</v>
      </c>
      <c r="Q10" s="23">
        <f t="shared" si="3"/>
        <v>180</v>
      </c>
      <c r="R10" s="24">
        <v>27</v>
      </c>
      <c r="S10" s="20">
        <v>23</v>
      </c>
      <c r="T10" s="21">
        <f t="shared" si="4"/>
        <v>4</v>
      </c>
      <c r="U10" s="22">
        <v>0</v>
      </c>
      <c r="V10" s="25">
        <f t="shared" si="5"/>
        <v>148</v>
      </c>
      <c r="W10" s="32">
        <v>19</v>
      </c>
      <c r="X10" s="20">
        <v>11</v>
      </c>
      <c r="Y10" s="21">
        <f t="shared" si="6"/>
        <v>8</v>
      </c>
      <c r="Z10" s="22">
        <f t="shared" si="22"/>
        <v>22</v>
      </c>
      <c r="AA10" s="23">
        <v>337</v>
      </c>
      <c r="AB10" s="24">
        <v>32</v>
      </c>
      <c r="AC10" s="20">
        <v>30</v>
      </c>
      <c r="AD10" s="21">
        <f t="shared" si="7"/>
        <v>2</v>
      </c>
      <c r="AE10" s="22">
        <f t="shared" si="28"/>
        <v>32</v>
      </c>
      <c r="AF10" s="23">
        <f t="shared" si="8"/>
        <v>320</v>
      </c>
      <c r="AG10" s="24">
        <v>44</v>
      </c>
      <c r="AH10" s="20">
        <v>44</v>
      </c>
      <c r="AI10" s="21">
        <f t="shared" si="9"/>
        <v>0</v>
      </c>
      <c r="AJ10" s="22">
        <f>AH2</f>
        <v>44</v>
      </c>
      <c r="AK10" s="23">
        <f t="shared" si="10"/>
        <v>286</v>
      </c>
      <c r="AL10" s="24">
        <v>34</v>
      </c>
      <c r="AM10" s="20">
        <v>34</v>
      </c>
      <c r="AN10" s="21">
        <f t="shared" si="11"/>
        <v>0</v>
      </c>
      <c r="AO10" s="22">
        <v>0</v>
      </c>
      <c r="AP10" s="25">
        <f t="shared" si="12"/>
        <v>235</v>
      </c>
      <c r="AQ10" s="32">
        <v>33</v>
      </c>
      <c r="AR10" s="20">
        <v>26</v>
      </c>
      <c r="AS10" s="21">
        <f t="shared" si="13"/>
        <v>7</v>
      </c>
      <c r="AT10" s="22">
        <f t="shared" si="23"/>
        <v>5</v>
      </c>
      <c r="AU10" s="23">
        <v>239</v>
      </c>
      <c r="AV10" s="24">
        <v>33</v>
      </c>
      <c r="AW10" s="20">
        <v>33</v>
      </c>
      <c r="AX10" s="21">
        <f t="shared" si="14"/>
        <v>0</v>
      </c>
      <c r="AY10" s="22">
        <f t="shared" si="29"/>
        <v>40</v>
      </c>
      <c r="AZ10" s="23">
        <f t="shared" si="15"/>
        <v>227</v>
      </c>
      <c r="BA10" s="24">
        <v>30</v>
      </c>
      <c r="BB10" s="20">
        <v>22</v>
      </c>
      <c r="BC10" s="21">
        <f t="shared" si="16"/>
        <v>8</v>
      </c>
      <c r="BD10" s="22">
        <f>BB2</f>
        <v>3</v>
      </c>
      <c r="BE10" s="23">
        <f t="shared" si="17"/>
        <v>203</v>
      </c>
      <c r="BF10" s="24">
        <v>33</v>
      </c>
      <c r="BG10" s="20">
        <v>33</v>
      </c>
      <c r="BH10" s="21">
        <f t="shared" si="18"/>
        <v>0</v>
      </c>
      <c r="BI10" s="22">
        <v>0</v>
      </c>
      <c r="BJ10" s="25">
        <f t="shared" si="19"/>
        <v>167</v>
      </c>
      <c r="BK10" s="4">
        <f t="shared" si="24"/>
        <v>276</v>
      </c>
      <c r="BL10" s="6">
        <f t="shared" si="25"/>
        <v>407</v>
      </c>
      <c r="BM10" s="8">
        <f t="shared" si="26"/>
        <v>494</v>
      </c>
      <c r="BO10" t="s">
        <v>71</v>
      </c>
      <c r="BP10" s="34">
        <v>25000</v>
      </c>
    </row>
    <row r="11" spans="1:68">
      <c r="A11">
        <v>10</v>
      </c>
      <c r="B11" s="2">
        <v>45361</v>
      </c>
      <c r="C11" s="32">
        <v>15</v>
      </c>
      <c r="D11" s="20">
        <v>14</v>
      </c>
      <c r="E11" s="21">
        <f t="shared" si="0"/>
        <v>1</v>
      </c>
      <c r="F11" s="22">
        <f t="shared" si="20"/>
        <v>20</v>
      </c>
      <c r="G11" s="23">
        <v>245</v>
      </c>
      <c r="H11" s="24">
        <v>37</v>
      </c>
      <c r="I11" s="20">
        <v>35</v>
      </c>
      <c r="J11" s="21">
        <f t="shared" si="1"/>
        <v>2</v>
      </c>
      <c r="K11" s="22">
        <f t="shared" si="27"/>
        <v>26</v>
      </c>
      <c r="L11" s="23">
        <f t="shared" si="21"/>
        <v>232</v>
      </c>
      <c r="M11" s="24">
        <v>26</v>
      </c>
      <c r="N11" s="20">
        <v>20</v>
      </c>
      <c r="O11" s="21">
        <f t="shared" si="2"/>
        <v>6</v>
      </c>
      <c r="P11" s="22">
        <f t="shared" ref="P11:P53" si="30">N3</f>
        <v>16</v>
      </c>
      <c r="Q11" s="23">
        <f t="shared" si="3"/>
        <v>208</v>
      </c>
      <c r="R11" s="24">
        <v>33</v>
      </c>
      <c r="S11" s="20">
        <v>30</v>
      </c>
      <c r="T11" s="21">
        <f t="shared" si="4"/>
        <v>3</v>
      </c>
      <c r="U11" s="22">
        <v>0</v>
      </c>
      <c r="V11" s="25">
        <f t="shared" si="5"/>
        <v>171</v>
      </c>
      <c r="W11" s="32">
        <v>41</v>
      </c>
      <c r="X11" s="20">
        <v>41</v>
      </c>
      <c r="Y11" s="21">
        <f t="shared" si="6"/>
        <v>0</v>
      </c>
      <c r="Z11" s="22">
        <f t="shared" si="22"/>
        <v>11</v>
      </c>
      <c r="AA11" s="23">
        <v>266</v>
      </c>
      <c r="AB11" s="24">
        <v>15</v>
      </c>
      <c r="AC11" s="20">
        <v>15</v>
      </c>
      <c r="AD11" s="21">
        <f t="shared" si="7"/>
        <v>0</v>
      </c>
      <c r="AE11" s="22">
        <f t="shared" si="28"/>
        <v>0</v>
      </c>
      <c r="AF11" s="23">
        <f>_xlfn.FLOOR.MATH(AA11*0.95)</f>
        <v>252</v>
      </c>
      <c r="AG11" s="24">
        <v>47</v>
      </c>
      <c r="AH11" s="20">
        <v>44</v>
      </c>
      <c r="AI11" s="21">
        <f t="shared" si="9"/>
        <v>3</v>
      </c>
      <c r="AJ11" s="22">
        <f t="shared" ref="AJ11:AJ53" si="31">AH3</f>
        <v>11</v>
      </c>
      <c r="AK11" s="23">
        <f t="shared" si="10"/>
        <v>226</v>
      </c>
      <c r="AL11" s="24">
        <v>27</v>
      </c>
      <c r="AM11" s="20">
        <v>25</v>
      </c>
      <c r="AN11" s="21">
        <f t="shared" si="11"/>
        <v>2</v>
      </c>
      <c r="AO11" s="22">
        <v>0</v>
      </c>
      <c r="AP11" s="25">
        <f t="shared" si="12"/>
        <v>186</v>
      </c>
      <c r="AQ11" s="32">
        <v>26</v>
      </c>
      <c r="AR11" s="20">
        <v>25</v>
      </c>
      <c r="AS11" s="21">
        <f t="shared" si="13"/>
        <v>1</v>
      </c>
      <c r="AT11" s="22">
        <f t="shared" si="23"/>
        <v>26</v>
      </c>
      <c r="AU11" s="23">
        <v>207</v>
      </c>
      <c r="AV11" s="24">
        <v>16</v>
      </c>
      <c r="AW11" s="20">
        <v>16</v>
      </c>
      <c r="AX11" s="21">
        <f t="shared" si="14"/>
        <v>0</v>
      </c>
      <c r="AY11" s="22">
        <f t="shared" si="29"/>
        <v>0</v>
      </c>
      <c r="AZ11" s="23">
        <f t="shared" si="15"/>
        <v>196</v>
      </c>
      <c r="BA11" s="24">
        <v>26</v>
      </c>
      <c r="BB11" s="20">
        <v>20</v>
      </c>
      <c r="BC11" s="21">
        <f t="shared" si="16"/>
        <v>6</v>
      </c>
      <c r="BD11" s="22">
        <f t="shared" ref="BD11:BD53" si="32">BB3</f>
        <v>31</v>
      </c>
      <c r="BE11" s="23">
        <f t="shared" si="17"/>
        <v>175</v>
      </c>
      <c r="BF11" s="24">
        <v>5</v>
      </c>
      <c r="BG11" s="20">
        <v>0</v>
      </c>
      <c r="BH11" s="21">
        <f t="shared" si="18"/>
        <v>5</v>
      </c>
      <c r="BI11" s="22">
        <v>0</v>
      </c>
      <c r="BJ11" s="25">
        <f t="shared" si="19"/>
        <v>144</v>
      </c>
      <c r="BK11" s="4">
        <f t="shared" si="24"/>
        <v>241</v>
      </c>
      <c r="BL11" s="6">
        <f t="shared" si="25"/>
        <v>310</v>
      </c>
      <c r="BM11" s="8">
        <f t="shared" si="26"/>
        <v>437</v>
      </c>
    </row>
    <row r="12" spans="1:68">
      <c r="A12">
        <v>11</v>
      </c>
      <c r="B12" s="2">
        <v>45368</v>
      </c>
      <c r="C12" s="32">
        <v>15</v>
      </c>
      <c r="D12" s="20">
        <v>13</v>
      </c>
      <c r="E12" s="21">
        <f t="shared" si="0"/>
        <v>2</v>
      </c>
      <c r="F12" s="22">
        <f>D11</f>
        <v>14</v>
      </c>
      <c r="G12" s="23">
        <v>201</v>
      </c>
      <c r="H12" s="24">
        <v>5</v>
      </c>
      <c r="I12" s="20">
        <v>2</v>
      </c>
      <c r="J12" s="21">
        <f t="shared" si="1"/>
        <v>3</v>
      </c>
      <c r="K12" s="22">
        <f t="shared" si="27"/>
        <v>24</v>
      </c>
      <c r="L12" s="23">
        <f t="shared" si="21"/>
        <v>190</v>
      </c>
      <c r="M12" s="24">
        <v>29</v>
      </c>
      <c r="N12" s="20">
        <v>23</v>
      </c>
      <c r="O12" s="21">
        <f t="shared" si="2"/>
        <v>6</v>
      </c>
      <c r="P12" s="22">
        <f t="shared" si="30"/>
        <v>0</v>
      </c>
      <c r="Q12" s="23">
        <f t="shared" si="3"/>
        <v>170</v>
      </c>
      <c r="R12" s="24">
        <v>47</v>
      </c>
      <c r="S12" s="20">
        <v>43</v>
      </c>
      <c r="T12" s="21">
        <f t="shared" si="4"/>
        <v>4</v>
      </c>
      <c r="U12" s="22">
        <v>0</v>
      </c>
      <c r="V12" s="25">
        <f t="shared" si="5"/>
        <v>140</v>
      </c>
      <c r="W12" s="32">
        <v>25</v>
      </c>
      <c r="X12" s="20">
        <v>20</v>
      </c>
      <c r="Y12" s="21">
        <f t="shared" si="6"/>
        <v>5</v>
      </c>
      <c r="Z12" s="22">
        <f t="shared" si="22"/>
        <v>41</v>
      </c>
      <c r="AA12" s="23">
        <v>308</v>
      </c>
      <c r="AB12" s="24">
        <v>8</v>
      </c>
      <c r="AC12" s="20">
        <v>0</v>
      </c>
      <c r="AD12" s="21">
        <f t="shared" si="7"/>
        <v>8</v>
      </c>
      <c r="AE12" s="22">
        <f t="shared" si="28"/>
        <v>0</v>
      </c>
      <c r="AF12" s="23">
        <f t="shared" si="8"/>
        <v>292</v>
      </c>
      <c r="AG12" s="24">
        <v>16</v>
      </c>
      <c r="AH12" s="20">
        <v>12</v>
      </c>
      <c r="AI12" s="21">
        <f t="shared" si="9"/>
        <v>4</v>
      </c>
      <c r="AJ12" s="22">
        <f t="shared" si="31"/>
        <v>28</v>
      </c>
      <c r="AK12" s="23">
        <f t="shared" si="10"/>
        <v>261</v>
      </c>
      <c r="AL12" s="24">
        <v>36</v>
      </c>
      <c r="AM12" s="20">
        <v>31</v>
      </c>
      <c r="AN12" s="21">
        <f t="shared" si="11"/>
        <v>5</v>
      </c>
      <c r="AO12" s="22">
        <v>0</v>
      </c>
      <c r="AP12" s="25">
        <f t="shared" si="12"/>
        <v>215</v>
      </c>
      <c r="AQ12" s="32">
        <v>29</v>
      </c>
      <c r="AR12" s="20">
        <v>27</v>
      </c>
      <c r="AS12" s="21">
        <f t="shared" si="13"/>
        <v>2</v>
      </c>
      <c r="AT12" s="22">
        <f t="shared" si="23"/>
        <v>25</v>
      </c>
      <c r="AU12" s="23">
        <v>260</v>
      </c>
      <c r="AV12" s="24">
        <v>43</v>
      </c>
      <c r="AW12" s="20">
        <v>38</v>
      </c>
      <c r="AX12" s="21">
        <f t="shared" si="14"/>
        <v>5</v>
      </c>
      <c r="AY12" s="22">
        <f t="shared" si="29"/>
        <v>0</v>
      </c>
      <c r="AZ12" s="23">
        <f t="shared" si="15"/>
        <v>247</v>
      </c>
      <c r="BA12" s="24">
        <v>43</v>
      </c>
      <c r="BB12" s="20">
        <v>40</v>
      </c>
      <c r="BC12" s="21">
        <f t="shared" si="16"/>
        <v>3</v>
      </c>
      <c r="BD12" s="22">
        <f t="shared" si="32"/>
        <v>33</v>
      </c>
      <c r="BE12" s="23">
        <f t="shared" si="17"/>
        <v>221</v>
      </c>
      <c r="BF12" s="24">
        <v>39</v>
      </c>
      <c r="BG12" s="20">
        <v>38</v>
      </c>
      <c r="BH12" s="21">
        <f t="shared" si="18"/>
        <v>1</v>
      </c>
      <c r="BI12" s="22">
        <v>0</v>
      </c>
      <c r="BJ12" s="25">
        <f t="shared" si="19"/>
        <v>182</v>
      </c>
      <c r="BK12" s="4">
        <f t="shared" si="24"/>
        <v>180</v>
      </c>
      <c r="BL12" s="6">
        <f t="shared" si="25"/>
        <v>254</v>
      </c>
      <c r="BM12" s="8">
        <f t="shared" si="26"/>
        <v>434</v>
      </c>
    </row>
    <row r="13" spans="1:68">
      <c r="A13">
        <v>12</v>
      </c>
      <c r="B13" s="2">
        <v>45375</v>
      </c>
      <c r="C13" s="32">
        <v>28</v>
      </c>
      <c r="D13" s="20">
        <v>27</v>
      </c>
      <c r="E13" s="21">
        <f t="shared" si="0"/>
        <v>1</v>
      </c>
      <c r="F13" s="22">
        <f t="shared" si="20"/>
        <v>13</v>
      </c>
      <c r="G13" s="23">
        <v>245</v>
      </c>
      <c r="H13" s="24">
        <v>23</v>
      </c>
      <c r="I13" s="20">
        <v>21</v>
      </c>
      <c r="J13" s="21">
        <f t="shared" si="1"/>
        <v>2</v>
      </c>
      <c r="K13" s="22">
        <f t="shared" si="27"/>
        <v>38</v>
      </c>
      <c r="L13" s="23">
        <f t="shared" si="21"/>
        <v>232</v>
      </c>
      <c r="M13" s="24">
        <v>26</v>
      </c>
      <c r="N13" s="20">
        <v>23</v>
      </c>
      <c r="O13" s="21">
        <f t="shared" si="2"/>
        <v>3</v>
      </c>
      <c r="P13" s="22">
        <f t="shared" si="30"/>
        <v>14</v>
      </c>
      <c r="Q13" s="23">
        <f t="shared" si="3"/>
        <v>208</v>
      </c>
      <c r="R13" s="24">
        <v>15</v>
      </c>
      <c r="S13" s="20">
        <v>13</v>
      </c>
      <c r="T13" s="21">
        <f t="shared" si="4"/>
        <v>2</v>
      </c>
      <c r="U13" s="22">
        <v>0</v>
      </c>
      <c r="V13" s="25">
        <f t="shared" si="5"/>
        <v>171</v>
      </c>
      <c r="W13" s="32">
        <v>18</v>
      </c>
      <c r="X13" s="20">
        <v>18</v>
      </c>
      <c r="Y13" s="21">
        <f t="shared" si="6"/>
        <v>0</v>
      </c>
      <c r="Z13" s="22">
        <f t="shared" si="22"/>
        <v>20</v>
      </c>
      <c r="AA13" s="23">
        <v>345</v>
      </c>
      <c r="AB13" s="24">
        <v>19</v>
      </c>
      <c r="AC13" s="20">
        <v>18</v>
      </c>
      <c r="AD13" s="21">
        <f t="shared" si="7"/>
        <v>1</v>
      </c>
      <c r="AE13" s="22">
        <f t="shared" si="28"/>
        <v>24</v>
      </c>
      <c r="AF13" s="23">
        <f t="shared" si="8"/>
        <v>327</v>
      </c>
      <c r="AG13" s="24">
        <v>48</v>
      </c>
      <c r="AH13" s="20">
        <v>48</v>
      </c>
      <c r="AI13" s="21">
        <f t="shared" si="9"/>
        <v>0</v>
      </c>
      <c r="AJ13" s="22">
        <f t="shared" si="31"/>
        <v>12</v>
      </c>
      <c r="AK13" s="23">
        <f t="shared" si="10"/>
        <v>293</v>
      </c>
      <c r="AL13" s="24">
        <v>21</v>
      </c>
      <c r="AM13" s="20">
        <v>20</v>
      </c>
      <c r="AN13" s="21">
        <f t="shared" si="11"/>
        <v>1</v>
      </c>
      <c r="AO13" s="22">
        <v>0</v>
      </c>
      <c r="AP13" s="25">
        <f t="shared" si="12"/>
        <v>241</v>
      </c>
      <c r="AQ13" s="32">
        <v>17</v>
      </c>
      <c r="AR13" s="20">
        <v>13</v>
      </c>
      <c r="AS13" s="21">
        <f t="shared" si="13"/>
        <v>4</v>
      </c>
      <c r="AT13" s="22">
        <f t="shared" si="23"/>
        <v>27</v>
      </c>
      <c r="AU13" s="23">
        <v>293</v>
      </c>
      <c r="AV13" s="24">
        <v>6</v>
      </c>
      <c r="AW13" s="20">
        <v>5</v>
      </c>
      <c r="AX13" s="21">
        <f t="shared" si="14"/>
        <v>1</v>
      </c>
      <c r="AY13" s="22">
        <f t="shared" si="29"/>
        <v>17</v>
      </c>
      <c r="AZ13" s="23">
        <f t="shared" si="15"/>
        <v>278</v>
      </c>
      <c r="BA13" s="24">
        <v>6</v>
      </c>
      <c r="BB13" s="20">
        <v>0</v>
      </c>
      <c r="BC13" s="21">
        <f t="shared" si="16"/>
        <v>6</v>
      </c>
      <c r="BD13" s="22">
        <f t="shared" si="32"/>
        <v>44</v>
      </c>
      <c r="BE13" s="23">
        <f t="shared" si="17"/>
        <v>249</v>
      </c>
      <c r="BF13" s="24">
        <v>10</v>
      </c>
      <c r="BG13" s="20">
        <v>6</v>
      </c>
      <c r="BH13" s="21">
        <f t="shared" si="18"/>
        <v>4</v>
      </c>
      <c r="BI13" s="22">
        <v>0</v>
      </c>
      <c r="BJ13" s="25">
        <f t="shared" si="19"/>
        <v>205</v>
      </c>
      <c r="BK13" s="4">
        <f>BK12-D12-I12-N12-S12+F13+K13+P13+U13</f>
        <v>164</v>
      </c>
      <c r="BL13" s="6">
        <f t="shared" si="25"/>
        <v>247</v>
      </c>
      <c r="BM13" s="8">
        <f t="shared" si="26"/>
        <v>379</v>
      </c>
    </row>
    <row r="14" spans="1:68">
      <c r="A14">
        <v>13</v>
      </c>
      <c r="B14" s="2">
        <v>45382</v>
      </c>
      <c r="C14" s="32">
        <v>40</v>
      </c>
      <c r="D14" s="20">
        <v>37</v>
      </c>
      <c r="E14" s="21">
        <f t="shared" si="0"/>
        <v>3</v>
      </c>
      <c r="F14" s="22">
        <f t="shared" si="20"/>
        <v>27</v>
      </c>
      <c r="G14" s="23">
        <v>281</v>
      </c>
      <c r="H14" s="24">
        <v>6</v>
      </c>
      <c r="I14" s="20">
        <v>5</v>
      </c>
      <c r="J14" s="21">
        <f t="shared" si="1"/>
        <v>1</v>
      </c>
      <c r="K14" s="22">
        <f t="shared" si="27"/>
        <v>27</v>
      </c>
      <c r="L14" s="23">
        <f t="shared" si="21"/>
        <v>266</v>
      </c>
      <c r="M14" s="24">
        <v>26</v>
      </c>
      <c r="N14" s="20">
        <v>21</v>
      </c>
      <c r="O14" s="21">
        <f t="shared" si="2"/>
        <v>5</v>
      </c>
      <c r="P14" s="22">
        <f t="shared" si="30"/>
        <v>32</v>
      </c>
      <c r="Q14" s="23">
        <f t="shared" si="3"/>
        <v>238</v>
      </c>
      <c r="R14" s="24">
        <v>22</v>
      </c>
      <c r="S14" s="20">
        <v>20</v>
      </c>
      <c r="T14" s="21">
        <f t="shared" si="4"/>
        <v>2</v>
      </c>
      <c r="U14" s="22">
        <v>0</v>
      </c>
      <c r="V14" s="25">
        <f t="shared" si="5"/>
        <v>196</v>
      </c>
      <c r="W14" s="32">
        <v>6</v>
      </c>
      <c r="X14" s="20">
        <v>0</v>
      </c>
      <c r="Y14" s="21">
        <f t="shared" si="6"/>
        <v>6</v>
      </c>
      <c r="Z14" s="22">
        <f t="shared" si="22"/>
        <v>18</v>
      </c>
      <c r="AA14" s="23">
        <v>310</v>
      </c>
      <c r="AB14" s="24">
        <v>10</v>
      </c>
      <c r="AC14" s="20">
        <v>9</v>
      </c>
      <c r="AD14" s="21">
        <f t="shared" si="7"/>
        <v>1</v>
      </c>
      <c r="AE14" s="22">
        <f t="shared" si="28"/>
        <v>30</v>
      </c>
      <c r="AF14" s="23">
        <f t="shared" si="8"/>
        <v>294</v>
      </c>
      <c r="AG14" s="24">
        <v>40</v>
      </c>
      <c r="AH14" s="20">
        <v>38</v>
      </c>
      <c r="AI14" s="21">
        <f t="shared" si="9"/>
        <v>2</v>
      </c>
      <c r="AJ14" s="22">
        <f t="shared" si="31"/>
        <v>41</v>
      </c>
      <c r="AK14" s="23">
        <f t="shared" si="10"/>
        <v>263</v>
      </c>
      <c r="AL14" s="24">
        <v>21</v>
      </c>
      <c r="AM14" s="20">
        <v>16</v>
      </c>
      <c r="AN14" s="21">
        <f t="shared" si="11"/>
        <v>5</v>
      </c>
      <c r="AO14" s="22">
        <v>0</v>
      </c>
      <c r="AP14" s="25">
        <f t="shared" si="12"/>
        <v>217</v>
      </c>
      <c r="AQ14" s="32">
        <v>22</v>
      </c>
      <c r="AR14" s="20">
        <v>20</v>
      </c>
      <c r="AS14" s="21">
        <f t="shared" si="13"/>
        <v>2</v>
      </c>
      <c r="AT14" s="22">
        <f t="shared" si="23"/>
        <v>13</v>
      </c>
      <c r="AU14" s="23">
        <v>219</v>
      </c>
      <c r="AV14" s="24">
        <v>36</v>
      </c>
      <c r="AW14" s="20">
        <v>33</v>
      </c>
      <c r="AX14" s="21">
        <f t="shared" si="14"/>
        <v>3</v>
      </c>
      <c r="AY14" s="22">
        <f t="shared" si="29"/>
        <v>33</v>
      </c>
      <c r="AZ14" s="23">
        <f t="shared" si="15"/>
        <v>208</v>
      </c>
      <c r="BA14" s="24">
        <v>42</v>
      </c>
      <c r="BB14" s="20">
        <v>41</v>
      </c>
      <c r="BC14" s="21">
        <f t="shared" si="16"/>
        <v>1</v>
      </c>
      <c r="BD14" s="22">
        <f t="shared" si="32"/>
        <v>11</v>
      </c>
      <c r="BE14" s="23">
        <f t="shared" si="17"/>
        <v>186</v>
      </c>
      <c r="BF14" s="24">
        <v>41</v>
      </c>
      <c r="BG14" s="20">
        <v>40</v>
      </c>
      <c r="BH14" s="21">
        <f t="shared" si="18"/>
        <v>1</v>
      </c>
      <c r="BI14" s="22">
        <v>0</v>
      </c>
      <c r="BJ14" s="25">
        <f t="shared" si="19"/>
        <v>153</v>
      </c>
      <c r="BK14" s="4">
        <f t="shared" si="24"/>
        <v>166</v>
      </c>
      <c r="BL14" s="6">
        <f t="shared" si="25"/>
        <v>232</v>
      </c>
      <c r="BM14" s="8">
        <f t="shared" si="26"/>
        <v>412</v>
      </c>
    </row>
    <row r="15" spans="1:68">
      <c r="A15">
        <v>14</v>
      </c>
      <c r="B15" s="2">
        <v>45389</v>
      </c>
      <c r="C15" s="32">
        <v>44</v>
      </c>
      <c r="D15" s="20">
        <v>40</v>
      </c>
      <c r="E15" s="21">
        <f t="shared" si="0"/>
        <v>4</v>
      </c>
      <c r="F15" s="22">
        <f t="shared" si="20"/>
        <v>37</v>
      </c>
      <c r="G15" s="23">
        <v>292</v>
      </c>
      <c r="H15" s="24">
        <v>48</v>
      </c>
      <c r="I15" s="20">
        <v>39</v>
      </c>
      <c r="J15" s="21">
        <f t="shared" si="1"/>
        <v>9</v>
      </c>
      <c r="K15" s="22">
        <f>I11</f>
        <v>35</v>
      </c>
      <c r="L15" s="23">
        <f t="shared" si="21"/>
        <v>277</v>
      </c>
      <c r="M15" s="24">
        <v>46</v>
      </c>
      <c r="N15" s="20">
        <v>42</v>
      </c>
      <c r="O15" s="21">
        <f t="shared" si="2"/>
        <v>4</v>
      </c>
      <c r="P15" s="22">
        <f t="shared" si="30"/>
        <v>30</v>
      </c>
      <c r="Q15" s="23">
        <f t="shared" si="3"/>
        <v>248</v>
      </c>
      <c r="R15" s="24">
        <v>16</v>
      </c>
      <c r="S15" s="20">
        <v>11</v>
      </c>
      <c r="T15" s="21">
        <f t="shared" si="4"/>
        <v>5</v>
      </c>
      <c r="U15" s="22">
        <v>0</v>
      </c>
      <c r="V15" s="25">
        <f t="shared" si="5"/>
        <v>204</v>
      </c>
      <c r="W15" s="32">
        <v>15</v>
      </c>
      <c r="X15" s="20">
        <v>0</v>
      </c>
      <c r="Y15" s="21">
        <f t="shared" si="6"/>
        <v>15</v>
      </c>
      <c r="Z15" s="22">
        <f t="shared" si="22"/>
        <v>0</v>
      </c>
      <c r="AA15" s="23">
        <v>310</v>
      </c>
      <c r="AB15" s="24">
        <v>34</v>
      </c>
      <c r="AC15" s="20">
        <v>33</v>
      </c>
      <c r="AD15" s="21">
        <f t="shared" si="7"/>
        <v>1</v>
      </c>
      <c r="AE15" s="22">
        <f t="shared" si="28"/>
        <v>15</v>
      </c>
      <c r="AF15" s="23">
        <f t="shared" si="8"/>
        <v>294</v>
      </c>
      <c r="AG15" s="24">
        <v>8</v>
      </c>
      <c r="AH15" s="20">
        <v>6</v>
      </c>
      <c r="AI15" s="21">
        <f t="shared" si="9"/>
        <v>2</v>
      </c>
      <c r="AJ15" s="22">
        <f t="shared" si="31"/>
        <v>22</v>
      </c>
      <c r="AK15" s="23">
        <f t="shared" si="10"/>
        <v>263</v>
      </c>
      <c r="AL15" s="24">
        <v>18</v>
      </c>
      <c r="AM15" s="20">
        <v>11</v>
      </c>
      <c r="AN15" s="21">
        <f t="shared" si="11"/>
        <v>7</v>
      </c>
      <c r="AO15" s="22">
        <v>0</v>
      </c>
      <c r="AP15" s="25">
        <f t="shared" si="12"/>
        <v>217</v>
      </c>
      <c r="AQ15" s="32">
        <v>37</v>
      </c>
      <c r="AR15" s="20">
        <v>36</v>
      </c>
      <c r="AS15" s="21">
        <f t="shared" si="13"/>
        <v>1</v>
      </c>
      <c r="AT15" s="22">
        <f t="shared" si="23"/>
        <v>20</v>
      </c>
      <c r="AU15" s="23">
        <v>224</v>
      </c>
      <c r="AV15" s="24">
        <v>17</v>
      </c>
      <c r="AW15" s="20">
        <v>17</v>
      </c>
      <c r="AX15" s="21">
        <f t="shared" si="14"/>
        <v>0</v>
      </c>
      <c r="AY15" s="22">
        <f t="shared" si="29"/>
        <v>16</v>
      </c>
      <c r="AZ15" s="23">
        <f t="shared" si="15"/>
        <v>212</v>
      </c>
      <c r="BA15" s="24">
        <v>43</v>
      </c>
      <c r="BB15" s="20">
        <v>42</v>
      </c>
      <c r="BC15" s="21">
        <f t="shared" si="16"/>
        <v>1</v>
      </c>
      <c r="BD15" s="22">
        <f t="shared" si="32"/>
        <v>33</v>
      </c>
      <c r="BE15" s="23">
        <f t="shared" si="17"/>
        <v>190</v>
      </c>
      <c r="BF15" s="24">
        <v>9</v>
      </c>
      <c r="BG15" s="20">
        <v>7</v>
      </c>
      <c r="BH15" s="21">
        <f t="shared" si="18"/>
        <v>2</v>
      </c>
      <c r="BI15" s="22">
        <v>0</v>
      </c>
      <c r="BJ15" s="25">
        <f t="shared" si="19"/>
        <v>156</v>
      </c>
      <c r="BK15" s="4">
        <f t="shared" si="24"/>
        <v>185</v>
      </c>
      <c r="BL15" s="6">
        <f t="shared" si="25"/>
        <v>206</v>
      </c>
      <c r="BM15" s="8">
        <f t="shared" si="26"/>
        <v>347</v>
      </c>
    </row>
    <row r="16" spans="1:68">
      <c r="A16">
        <v>15</v>
      </c>
      <c r="B16" s="2">
        <v>45396</v>
      </c>
      <c r="C16" s="32">
        <v>28</v>
      </c>
      <c r="D16" s="20">
        <v>26</v>
      </c>
      <c r="E16" s="21">
        <f t="shared" si="0"/>
        <v>2</v>
      </c>
      <c r="F16" s="22">
        <f t="shared" si="20"/>
        <v>40</v>
      </c>
      <c r="G16" s="23">
        <v>178</v>
      </c>
      <c r="H16" s="24">
        <v>30</v>
      </c>
      <c r="I16" s="20">
        <v>27</v>
      </c>
      <c r="J16" s="21">
        <f t="shared" si="1"/>
        <v>3</v>
      </c>
      <c r="K16" s="22">
        <f t="shared" si="27"/>
        <v>2</v>
      </c>
      <c r="L16" s="23">
        <f t="shared" si="21"/>
        <v>169</v>
      </c>
      <c r="M16" s="24">
        <v>10</v>
      </c>
      <c r="N16" s="20">
        <v>0</v>
      </c>
      <c r="O16" s="21">
        <f t="shared" si="2"/>
        <v>10</v>
      </c>
      <c r="P16" s="22">
        <f t="shared" si="30"/>
        <v>3</v>
      </c>
      <c r="Q16" s="23">
        <f t="shared" si="3"/>
        <v>151</v>
      </c>
      <c r="R16" s="24">
        <v>13</v>
      </c>
      <c r="S16" s="20">
        <v>11</v>
      </c>
      <c r="T16" s="21">
        <f t="shared" si="4"/>
        <v>2</v>
      </c>
      <c r="U16" s="22">
        <v>0</v>
      </c>
      <c r="V16" s="25">
        <f t="shared" si="5"/>
        <v>124</v>
      </c>
      <c r="W16" s="32">
        <v>43</v>
      </c>
      <c r="X16" s="20">
        <v>42</v>
      </c>
      <c r="Y16" s="21">
        <f t="shared" si="6"/>
        <v>1</v>
      </c>
      <c r="Z16" s="22">
        <f>X15</f>
        <v>0</v>
      </c>
      <c r="AA16" s="23">
        <v>233</v>
      </c>
      <c r="AB16" s="24">
        <v>42</v>
      </c>
      <c r="AC16" s="20">
        <v>40</v>
      </c>
      <c r="AD16" s="21">
        <f t="shared" si="7"/>
        <v>2</v>
      </c>
      <c r="AE16" s="22">
        <f t="shared" si="28"/>
        <v>0</v>
      </c>
      <c r="AF16" s="23">
        <f t="shared" si="8"/>
        <v>221</v>
      </c>
      <c r="AG16" s="24">
        <v>9</v>
      </c>
      <c r="AH16" s="20">
        <v>5</v>
      </c>
      <c r="AI16" s="21">
        <f t="shared" si="9"/>
        <v>4</v>
      </c>
      <c r="AJ16" s="22">
        <f t="shared" si="31"/>
        <v>21</v>
      </c>
      <c r="AK16" s="23">
        <f t="shared" si="10"/>
        <v>198</v>
      </c>
      <c r="AL16" s="24">
        <v>13</v>
      </c>
      <c r="AM16" s="20">
        <v>0</v>
      </c>
      <c r="AN16" s="21">
        <f t="shared" si="11"/>
        <v>13</v>
      </c>
      <c r="AO16" s="22">
        <v>0</v>
      </c>
      <c r="AP16" s="25">
        <f t="shared" si="12"/>
        <v>163</v>
      </c>
      <c r="AQ16" s="32">
        <v>20</v>
      </c>
      <c r="AR16" s="20">
        <v>17</v>
      </c>
      <c r="AS16" s="21">
        <f t="shared" si="13"/>
        <v>3</v>
      </c>
      <c r="AT16" s="22">
        <f t="shared" si="23"/>
        <v>36</v>
      </c>
      <c r="AU16" s="23">
        <v>241</v>
      </c>
      <c r="AV16" s="24">
        <v>31</v>
      </c>
      <c r="AW16" s="20">
        <v>30</v>
      </c>
      <c r="AX16" s="21">
        <f t="shared" si="14"/>
        <v>1</v>
      </c>
      <c r="AY16" s="22">
        <f t="shared" si="29"/>
        <v>38</v>
      </c>
      <c r="AZ16" s="23">
        <f t="shared" si="15"/>
        <v>228</v>
      </c>
      <c r="BA16" s="24">
        <v>30</v>
      </c>
      <c r="BB16" s="20">
        <v>24</v>
      </c>
      <c r="BC16" s="21">
        <f t="shared" si="16"/>
        <v>6</v>
      </c>
      <c r="BD16" s="22">
        <f t="shared" si="32"/>
        <v>35</v>
      </c>
      <c r="BE16" s="23">
        <f t="shared" si="17"/>
        <v>204</v>
      </c>
      <c r="BF16" s="24">
        <v>37</v>
      </c>
      <c r="BG16" s="20">
        <v>37</v>
      </c>
      <c r="BH16" s="21">
        <f t="shared" si="18"/>
        <v>0</v>
      </c>
      <c r="BI16" s="22">
        <v>0</v>
      </c>
      <c r="BJ16" s="25">
        <f t="shared" si="19"/>
        <v>168</v>
      </c>
      <c r="BK16" s="4">
        <f t="shared" si="24"/>
        <v>98</v>
      </c>
      <c r="BL16" s="6">
        <f t="shared" si="25"/>
        <v>177</v>
      </c>
      <c r="BM16" s="8">
        <f t="shared" si="26"/>
        <v>354</v>
      </c>
    </row>
    <row r="17" spans="1:65">
      <c r="A17">
        <v>16</v>
      </c>
      <c r="B17" s="2">
        <v>45403</v>
      </c>
      <c r="C17" s="32">
        <v>7</v>
      </c>
      <c r="D17" s="20">
        <v>3</v>
      </c>
      <c r="E17" s="21">
        <f t="shared" si="0"/>
        <v>4</v>
      </c>
      <c r="F17" s="22">
        <f t="shared" si="20"/>
        <v>26</v>
      </c>
      <c r="G17" s="23">
        <v>185</v>
      </c>
      <c r="H17" s="24">
        <v>36</v>
      </c>
      <c r="I17" s="20">
        <v>33</v>
      </c>
      <c r="J17" s="21">
        <f t="shared" si="1"/>
        <v>3</v>
      </c>
      <c r="K17" s="22">
        <f>I13</f>
        <v>21</v>
      </c>
      <c r="L17" s="23">
        <f t="shared" si="21"/>
        <v>175</v>
      </c>
      <c r="M17" s="24">
        <v>19</v>
      </c>
      <c r="N17" s="20">
        <v>14</v>
      </c>
      <c r="O17" s="21">
        <f t="shared" si="2"/>
        <v>5</v>
      </c>
      <c r="P17" s="22">
        <f t="shared" si="30"/>
        <v>32</v>
      </c>
      <c r="Q17" s="23">
        <f t="shared" si="3"/>
        <v>157</v>
      </c>
      <c r="R17" s="24">
        <v>14</v>
      </c>
      <c r="S17" s="20">
        <v>13</v>
      </c>
      <c r="T17" s="21">
        <f t="shared" si="4"/>
        <v>1</v>
      </c>
      <c r="U17" s="22">
        <v>0</v>
      </c>
      <c r="V17" s="25">
        <f t="shared" si="5"/>
        <v>129</v>
      </c>
      <c r="W17" s="32">
        <v>42</v>
      </c>
      <c r="X17" s="20">
        <v>42</v>
      </c>
      <c r="Y17" s="21">
        <f t="shared" si="6"/>
        <v>0</v>
      </c>
      <c r="Z17" s="22">
        <f t="shared" si="22"/>
        <v>42</v>
      </c>
      <c r="AA17" s="23">
        <v>310</v>
      </c>
      <c r="AB17" s="24">
        <v>6</v>
      </c>
      <c r="AC17" s="20">
        <v>0</v>
      </c>
      <c r="AD17" s="21">
        <f t="shared" si="7"/>
        <v>6</v>
      </c>
      <c r="AE17" s="22">
        <f t="shared" si="28"/>
        <v>18</v>
      </c>
      <c r="AF17" s="23">
        <f t="shared" si="8"/>
        <v>294</v>
      </c>
      <c r="AG17" s="24">
        <v>41</v>
      </c>
      <c r="AH17" s="20">
        <v>40</v>
      </c>
      <c r="AI17" s="21">
        <f t="shared" si="9"/>
        <v>1</v>
      </c>
      <c r="AJ17" s="22">
        <f t="shared" si="31"/>
        <v>36</v>
      </c>
      <c r="AK17" s="23">
        <f t="shared" si="10"/>
        <v>263</v>
      </c>
      <c r="AL17" s="24">
        <v>44</v>
      </c>
      <c r="AM17" s="20">
        <v>44</v>
      </c>
      <c r="AN17" s="21">
        <f t="shared" si="11"/>
        <v>0</v>
      </c>
      <c r="AO17" s="22">
        <v>0</v>
      </c>
      <c r="AP17" s="25">
        <f t="shared" si="12"/>
        <v>217</v>
      </c>
      <c r="AQ17" s="32">
        <v>49</v>
      </c>
      <c r="AR17" s="20">
        <v>49</v>
      </c>
      <c r="AS17" s="21">
        <f t="shared" si="13"/>
        <v>0</v>
      </c>
      <c r="AT17" s="22">
        <f t="shared" si="23"/>
        <v>17</v>
      </c>
      <c r="AU17" s="23">
        <v>272</v>
      </c>
      <c r="AV17" s="24">
        <v>45</v>
      </c>
      <c r="AW17" s="20">
        <v>45</v>
      </c>
      <c r="AX17" s="21">
        <f t="shared" si="14"/>
        <v>0</v>
      </c>
      <c r="AY17" s="22">
        <f t="shared" si="29"/>
        <v>5</v>
      </c>
      <c r="AZ17" s="23">
        <f t="shared" si="15"/>
        <v>258</v>
      </c>
      <c r="BA17" s="24">
        <v>19</v>
      </c>
      <c r="BB17" s="20">
        <v>11</v>
      </c>
      <c r="BC17" s="21">
        <f t="shared" si="16"/>
        <v>8</v>
      </c>
      <c r="BD17" s="22">
        <f t="shared" si="32"/>
        <v>14</v>
      </c>
      <c r="BE17" s="23">
        <f t="shared" si="17"/>
        <v>231</v>
      </c>
      <c r="BF17" s="24">
        <v>18</v>
      </c>
      <c r="BG17" s="20">
        <v>16</v>
      </c>
      <c r="BH17" s="21">
        <f t="shared" si="18"/>
        <v>2</v>
      </c>
      <c r="BI17" s="22">
        <v>0</v>
      </c>
      <c r="BJ17" s="25">
        <f t="shared" si="19"/>
        <v>190</v>
      </c>
      <c r="BK17" s="4">
        <f t="shared" si="24"/>
        <v>113</v>
      </c>
      <c r="BL17" s="6">
        <f t="shared" si="25"/>
        <v>186</v>
      </c>
      <c r="BM17" s="8">
        <f t="shared" si="26"/>
        <v>282</v>
      </c>
    </row>
    <row r="18" spans="1:65">
      <c r="A18">
        <v>17</v>
      </c>
      <c r="B18" s="2">
        <v>45410</v>
      </c>
      <c r="C18" s="32">
        <v>26</v>
      </c>
      <c r="D18" s="20">
        <v>22</v>
      </c>
      <c r="E18" s="21">
        <f t="shared" si="0"/>
        <v>4</v>
      </c>
      <c r="F18" s="22">
        <f t="shared" si="20"/>
        <v>3</v>
      </c>
      <c r="G18" s="23">
        <v>162</v>
      </c>
      <c r="H18" s="24">
        <v>10</v>
      </c>
      <c r="I18" s="20">
        <v>8</v>
      </c>
      <c r="J18" s="21">
        <f t="shared" si="1"/>
        <v>2</v>
      </c>
      <c r="K18" s="22">
        <f t="shared" si="27"/>
        <v>5</v>
      </c>
      <c r="L18" s="23">
        <f t="shared" si="21"/>
        <v>153</v>
      </c>
      <c r="M18" s="24">
        <v>47</v>
      </c>
      <c r="N18" s="20">
        <v>43</v>
      </c>
      <c r="O18" s="21">
        <f t="shared" si="2"/>
        <v>4</v>
      </c>
      <c r="P18" s="22">
        <f t="shared" si="30"/>
        <v>27</v>
      </c>
      <c r="Q18" s="23">
        <f t="shared" si="3"/>
        <v>137</v>
      </c>
      <c r="R18" s="24">
        <v>48</v>
      </c>
      <c r="S18" s="20">
        <v>44</v>
      </c>
      <c r="T18" s="21">
        <f t="shared" si="4"/>
        <v>4</v>
      </c>
      <c r="U18" s="22">
        <f>S2</f>
        <v>43</v>
      </c>
      <c r="V18" s="25">
        <f t="shared" si="5"/>
        <v>113</v>
      </c>
      <c r="W18" s="32">
        <v>38</v>
      </c>
      <c r="X18" s="20">
        <v>37</v>
      </c>
      <c r="Y18" s="21">
        <f>W18-X18</f>
        <v>1</v>
      </c>
      <c r="Z18" s="22">
        <f t="shared" si="22"/>
        <v>42</v>
      </c>
      <c r="AA18" s="23">
        <v>207</v>
      </c>
      <c r="AB18" s="24">
        <v>19</v>
      </c>
      <c r="AC18" s="20">
        <v>16</v>
      </c>
      <c r="AD18" s="21">
        <f t="shared" si="7"/>
        <v>3</v>
      </c>
      <c r="AE18" s="22">
        <f t="shared" si="28"/>
        <v>9</v>
      </c>
      <c r="AF18" s="23">
        <f t="shared" si="8"/>
        <v>196</v>
      </c>
      <c r="AG18" s="24">
        <v>12</v>
      </c>
      <c r="AH18" s="20">
        <v>0</v>
      </c>
      <c r="AI18" s="21">
        <f t="shared" si="9"/>
        <v>12</v>
      </c>
      <c r="AJ18" s="22">
        <f t="shared" si="31"/>
        <v>44</v>
      </c>
      <c r="AK18" s="23">
        <f t="shared" si="10"/>
        <v>175</v>
      </c>
      <c r="AL18" s="24">
        <v>6</v>
      </c>
      <c r="AM18" s="20">
        <v>0</v>
      </c>
      <c r="AN18" s="21">
        <f t="shared" si="11"/>
        <v>6</v>
      </c>
      <c r="AO18" s="22">
        <f>AM2</f>
        <v>33</v>
      </c>
      <c r="AP18" s="25">
        <f t="shared" si="12"/>
        <v>144</v>
      </c>
      <c r="AQ18" s="32">
        <v>46</v>
      </c>
      <c r="AR18" s="20">
        <v>44</v>
      </c>
      <c r="AS18" s="21">
        <f t="shared" si="13"/>
        <v>2</v>
      </c>
      <c r="AT18" s="22">
        <f t="shared" si="23"/>
        <v>49</v>
      </c>
      <c r="AU18" s="23">
        <v>294</v>
      </c>
      <c r="AV18" s="24">
        <v>21</v>
      </c>
      <c r="AW18" s="20">
        <v>15</v>
      </c>
      <c r="AX18" s="21">
        <f t="shared" si="14"/>
        <v>6</v>
      </c>
      <c r="AY18" s="22">
        <f t="shared" si="29"/>
        <v>33</v>
      </c>
      <c r="AZ18" s="23">
        <f t="shared" si="15"/>
        <v>279</v>
      </c>
      <c r="BA18" s="24">
        <v>38</v>
      </c>
      <c r="BB18" s="20">
        <v>31</v>
      </c>
      <c r="BC18" s="21">
        <f t="shared" si="16"/>
        <v>7</v>
      </c>
      <c r="BD18" s="22">
        <f t="shared" si="32"/>
        <v>22</v>
      </c>
      <c r="BE18" s="23">
        <f t="shared" si="17"/>
        <v>249</v>
      </c>
      <c r="BF18" s="24">
        <v>16</v>
      </c>
      <c r="BG18" s="20">
        <v>15</v>
      </c>
      <c r="BH18" s="21">
        <f t="shared" si="18"/>
        <v>1</v>
      </c>
      <c r="BI18" s="22">
        <f>BG2</f>
        <v>48</v>
      </c>
      <c r="BJ18" s="25">
        <f t="shared" si="19"/>
        <v>205</v>
      </c>
      <c r="BK18" s="4">
        <f t="shared" si="24"/>
        <v>128</v>
      </c>
      <c r="BL18" s="6">
        <f t="shared" si="25"/>
        <v>188</v>
      </c>
      <c r="BM18" s="8">
        <f t="shared" si="26"/>
        <v>313</v>
      </c>
    </row>
    <row r="19" spans="1:65">
      <c r="A19">
        <v>18</v>
      </c>
      <c r="B19" s="2">
        <v>45417</v>
      </c>
      <c r="C19" s="32">
        <v>6</v>
      </c>
      <c r="D19" s="20">
        <v>3</v>
      </c>
      <c r="E19" s="21">
        <f t="shared" si="0"/>
        <v>3</v>
      </c>
      <c r="F19" s="22">
        <f t="shared" si="20"/>
        <v>22</v>
      </c>
      <c r="G19" s="23">
        <v>220</v>
      </c>
      <c r="H19" s="24">
        <v>36</v>
      </c>
      <c r="I19" s="20">
        <v>34</v>
      </c>
      <c r="J19" s="21">
        <f t="shared" si="1"/>
        <v>2</v>
      </c>
      <c r="K19" s="22">
        <f t="shared" si="27"/>
        <v>39</v>
      </c>
      <c r="L19" s="23">
        <f t="shared" si="21"/>
        <v>209</v>
      </c>
      <c r="M19" s="24">
        <v>41</v>
      </c>
      <c r="N19" s="20">
        <v>37</v>
      </c>
      <c r="O19" s="21">
        <f t="shared" si="2"/>
        <v>4</v>
      </c>
      <c r="P19" s="22">
        <f t="shared" si="30"/>
        <v>20</v>
      </c>
      <c r="Q19" s="23">
        <f t="shared" si="3"/>
        <v>187</v>
      </c>
      <c r="R19" s="24">
        <v>21</v>
      </c>
      <c r="S19" s="20">
        <v>18</v>
      </c>
      <c r="T19" s="21">
        <f t="shared" si="4"/>
        <v>3</v>
      </c>
      <c r="U19" s="22">
        <f t="shared" ref="U19:U53" si="33">S3</f>
        <v>49</v>
      </c>
      <c r="V19" s="25">
        <f t="shared" si="5"/>
        <v>154</v>
      </c>
      <c r="W19" s="32">
        <v>42</v>
      </c>
      <c r="X19" s="20">
        <v>40</v>
      </c>
      <c r="Y19" s="21">
        <f t="shared" si="6"/>
        <v>2</v>
      </c>
      <c r="Z19" s="22">
        <f t="shared" si="22"/>
        <v>37</v>
      </c>
      <c r="AA19" s="23">
        <v>367</v>
      </c>
      <c r="AB19" s="24">
        <v>15</v>
      </c>
      <c r="AC19" s="20">
        <v>15</v>
      </c>
      <c r="AD19" s="21">
        <f t="shared" si="7"/>
        <v>0</v>
      </c>
      <c r="AE19" s="22">
        <f t="shared" si="28"/>
        <v>33</v>
      </c>
      <c r="AF19" s="23">
        <f t="shared" si="8"/>
        <v>348</v>
      </c>
      <c r="AG19" s="24">
        <v>46</v>
      </c>
      <c r="AH19" s="20">
        <v>42</v>
      </c>
      <c r="AI19" s="21">
        <f t="shared" si="9"/>
        <v>4</v>
      </c>
      <c r="AJ19" s="22">
        <f t="shared" si="31"/>
        <v>44</v>
      </c>
      <c r="AK19" s="23">
        <f t="shared" si="10"/>
        <v>311</v>
      </c>
      <c r="AL19" s="24">
        <v>49</v>
      </c>
      <c r="AM19" s="20">
        <v>49</v>
      </c>
      <c r="AN19" s="21">
        <f t="shared" si="11"/>
        <v>0</v>
      </c>
      <c r="AO19" s="22">
        <f t="shared" ref="AO19:AO53" si="34">AM3</f>
        <v>48</v>
      </c>
      <c r="AP19" s="25">
        <f t="shared" si="12"/>
        <v>256</v>
      </c>
      <c r="AQ19" s="32">
        <v>48</v>
      </c>
      <c r="AR19" s="20">
        <v>44</v>
      </c>
      <c r="AS19" s="21">
        <f t="shared" si="13"/>
        <v>4</v>
      </c>
      <c r="AT19" s="22">
        <f t="shared" si="23"/>
        <v>44</v>
      </c>
      <c r="AU19" s="23">
        <v>246</v>
      </c>
      <c r="AV19" s="24">
        <v>44</v>
      </c>
      <c r="AW19" s="20">
        <v>44</v>
      </c>
      <c r="AX19" s="21">
        <f t="shared" si="14"/>
        <v>0</v>
      </c>
      <c r="AY19" s="22">
        <f t="shared" si="29"/>
        <v>17</v>
      </c>
      <c r="AZ19" s="23">
        <f t="shared" si="15"/>
        <v>233</v>
      </c>
      <c r="BA19" s="24">
        <v>46</v>
      </c>
      <c r="BB19" s="20">
        <v>44</v>
      </c>
      <c r="BC19" s="21">
        <f t="shared" si="16"/>
        <v>2</v>
      </c>
      <c r="BD19" s="22">
        <f t="shared" si="32"/>
        <v>20</v>
      </c>
      <c r="BE19" s="23">
        <f t="shared" si="17"/>
        <v>209</v>
      </c>
      <c r="BF19" s="24">
        <v>46</v>
      </c>
      <c r="BG19" s="20">
        <v>44</v>
      </c>
      <c r="BH19" s="21">
        <f t="shared" si="18"/>
        <v>2</v>
      </c>
      <c r="BI19" s="22">
        <f t="shared" ref="BI19:BI53" si="35">BG3</f>
        <v>22</v>
      </c>
      <c r="BJ19" s="25">
        <f t="shared" si="19"/>
        <v>172</v>
      </c>
      <c r="BK19" s="4">
        <f t="shared" si="24"/>
        <v>141</v>
      </c>
      <c r="BL19" s="6">
        <f t="shared" si="25"/>
        <v>297</v>
      </c>
      <c r="BM19" s="8">
        <f t="shared" si="26"/>
        <v>311</v>
      </c>
    </row>
    <row r="20" spans="1:65">
      <c r="A20">
        <v>19</v>
      </c>
      <c r="B20" s="2">
        <v>45424</v>
      </c>
      <c r="C20" s="32">
        <v>28</v>
      </c>
      <c r="D20" s="20">
        <v>26</v>
      </c>
      <c r="E20" s="21">
        <f t="shared" si="0"/>
        <v>2</v>
      </c>
      <c r="F20" s="22">
        <f t="shared" si="20"/>
        <v>3</v>
      </c>
      <c r="G20" s="23">
        <v>235</v>
      </c>
      <c r="H20" s="24">
        <v>8</v>
      </c>
      <c r="I20" s="20">
        <v>7</v>
      </c>
      <c r="J20" s="21">
        <f t="shared" si="1"/>
        <v>1</v>
      </c>
      <c r="K20" s="22">
        <f t="shared" si="27"/>
        <v>27</v>
      </c>
      <c r="L20" s="23">
        <f t="shared" si="21"/>
        <v>223</v>
      </c>
      <c r="M20" s="24">
        <v>37</v>
      </c>
      <c r="N20" s="20">
        <v>12</v>
      </c>
      <c r="O20" s="21">
        <f t="shared" si="2"/>
        <v>25</v>
      </c>
      <c r="P20" s="22">
        <f>N12</f>
        <v>23</v>
      </c>
      <c r="Q20" s="23">
        <f t="shared" si="3"/>
        <v>199</v>
      </c>
      <c r="R20" s="24">
        <v>42</v>
      </c>
      <c r="S20" s="20">
        <v>38</v>
      </c>
      <c r="T20" s="21">
        <f t="shared" si="4"/>
        <v>4</v>
      </c>
      <c r="U20" s="22">
        <f t="shared" si="33"/>
        <v>44</v>
      </c>
      <c r="V20" s="25">
        <f t="shared" si="5"/>
        <v>164</v>
      </c>
      <c r="W20" s="32">
        <v>38</v>
      </c>
      <c r="X20" s="20">
        <v>37</v>
      </c>
      <c r="Y20" s="21">
        <f t="shared" si="6"/>
        <v>1</v>
      </c>
      <c r="Z20" s="22">
        <f t="shared" si="22"/>
        <v>40</v>
      </c>
      <c r="AA20" s="23">
        <v>312</v>
      </c>
      <c r="AB20" s="24">
        <v>12</v>
      </c>
      <c r="AC20" s="20">
        <v>10</v>
      </c>
      <c r="AD20" s="21">
        <f t="shared" si="7"/>
        <v>2</v>
      </c>
      <c r="AE20" s="22">
        <f t="shared" si="28"/>
        <v>40</v>
      </c>
      <c r="AF20" s="23">
        <f t="shared" si="8"/>
        <v>296</v>
      </c>
      <c r="AG20" s="24">
        <v>32</v>
      </c>
      <c r="AH20" s="20">
        <v>31</v>
      </c>
      <c r="AI20" s="21">
        <f t="shared" si="9"/>
        <v>1</v>
      </c>
      <c r="AJ20" s="22">
        <f t="shared" si="31"/>
        <v>12</v>
      </c>
      <c r="AK20" s="23">
        <f t="shared" si="10"/>
        <v>265</v>
      </c>
      <c r="AL20" s="24">
        <v>29</v>
      </c>
      <c r="AM20" s="20">
        <v>22</v>
      </c>
      <c r="AN20" s="21">
        <f t="shared" si="11"/>
        <v>7</v>
      </c>
      <c r="AO20" s="22">
        <f t="shared" si="34"/>
        <v>32</v>
      </c>
      <c r="AP20" s="25">
        <f t="shared" si="12"/>
        <v>218</v>
      </c>
      <c r="AQ20" s="32">
        <v>6</v>
      </c>
      <c r="AR20" s="20">
        <v>0</v>
      </c>
      <c r="AS20" s="21">
        <f t="shared" si="13"/>
        <v>6</v>
      </c>
      <c r="AT20" s="22">
        <f t="shared" si="23"/>
        <v>44</v>
      </c>
      <c r="AU20" s="23">
        <v>235</v>
      </c>
      <c r="AV20" s="24">
        <v>35</v>
      </c>
      <c r="AW20" s="20">
        <v>31</v>
      </c>
      <c r="AX20" s="21">
        <f t="shared" si="14"/>
        <v>4</v>
      </c>
      <c r="AY20" s="22">
        <f t="shared" si="29"/>
        <v>30</v>
      </c>
      <c r="AZ20" s="23">
        <f t="shared" si="15"/>
        <v>223</v>
      </c>
      <c r="BA20" s="24">
        <v>48</v>
      </c>
      <c r="BB20" s="20">
        <v>44</v>
      </c>
      <c r="BC20" s="21">
        <f t="shared" si="16"/>
        <v>4</v>
      </c>
      <c r="BD20" s="22">
        <f t="shared" si="32"/>
        <v>40</v>
      </c>
      <c r="BE20" s="23">
        <f t="shared" si="17"/>
        <v>199</v>
      </c>
      <c r="BF20" s="24">
        <v>24</v>
      </c>
      <c r="BG20" s="20">
        <v>20</v>
      </c>
      <c r="BH20" s="21">
        <f t="shared" si="18"/>
        <v>4</v>
      </c>
      <c r="BI20" s="22">
        <f t="shared" si="35"/>
        <v>15</v>
      </c>
      <c r="BJ20" s="25">
        <f t="shared" si="19"/>
        <v>164</v>
      </c>
      <c r="BK20" s="4">
        <f t="shared" si="24"/>
        <v>146</v>
      </c>
      <c r="BL20" s="6">
        <f t="shared" si="25"/>
        <v>275</v>
      </c>
      <c r="BM20" s="8">
        <f t="shared" si="26"/>
        <v>264</v>
      </c>
    </row>
    <row r="21" spans="1:65">
      <c r="A21">
        <v>20</v>
      </c>
      <c r="B21" s="2">
        <v>45431</v>
      </c>
      <c r="C21" s="32">
        <v>48</v>
      </c>
      <c r="D21" s="20">
        <v>46</v>
      </c>
      <c r="E21" s="21">
        <f t="shared" si="0"/>
        <v>2</v>
      </c>
      <c r="F21" s="22">
        <f t="shared" si="20"/>
        <v>26</v>
      </c>
      <c r="G21" s="23">
        <v>177</v>
      </c>
      <c r="H21" s="24">
        <v>15</v>
      </c>
      <c r="I21" s="20">
        <v>13</v>
      </c>
      <c r="J21" s="21">
        <f t="shared" si="1"/>
        <v>2</v>
      </c>
      <c r="K21" s="22">
        <f t="shared" si="27"/>
        <v>33</v>
      </c>
      <c r="L21" s="23">
        <f t="shared" si="21"/>
        <v>168</v>
      </c>
      <c r="M21" s="24">
        <v>12</v>
      </c>
      <c r="N21" s="20">
        <v>0</v>
      </c>
      <c r="O21" s="21">
        <f t="shared" si="2"/>
        <v>12</v>
      </c>
      <c r="P21" s="22">
        <f t="shared" si="30"/>
        <v>23</v>
      </c>
      <c r="Q21" s="23">
        <f t="shared" si="3"/>
        <v>150</v>
      </c>
      <c r="R21" s="24">
        <v>11</v>
      </c>
      <c r="S21" s="20">
        <v>10</v>
      </c>
      <c r="T21" s="21">
        <f t="shared" si="4"/>
        <v>1</v>
      </c>
      <c r="U21" s="22">
        <f t="shared" si="33"/>
        <v>41</v>
      </c>
      <c r="V21" s="25">
        <f t="shared" si="5"/>
        <v>123</v>
      </c>
      <c r="W21" s="32">
        <v>22</v>
      </c>
      <c r="X21" s="20">
        <v>18</v>
      </c>
      <c r="Y21" s="21">
        <f t="shared" si="6"/>
        <v>4</v>
      </c>
      <c r="Z21" s="22">
        <f t="shared" si="22"/>
        <v>37</v>
      </c>
      <c r="AA21" s="23">
        <v>282</v>
      </c>
      <c r="AB21" s="24">
        <v>30</v>
      </c>
      <c r="AC21" s="20">
        <v>27</v>
      </c>
      <c r="AD21" s="21">
        <f t="shared" si="7"/>
        <v>3</v>
      </c>
      <c r="AE21" s="22">
        <f t="shared" si="28"/>
        <v>0</v>
      </c>
      <c r="AF21" s="23">
        <f t="shared" si="8"/>
        <v>267</v>
      </c>
      <c r="AG21" s="24">
        <v>35</v>
      </c>
      <c r="AH21" s="20">
        <v>34</v>
      </c>
      <c r="AI21" s="21">
        <f t="shared" si="9"/>
        <v>1</v>
      </c>
      <c r="AJ21" s="22">
        <f t="shared" si="31"/>
        <v>48</v>
      </c>
      <c r="AK21" s="23">
        <f t="shared" si="10"/>
        <v>239</v>
      </c>
      <c r="AL21" s="24">
        <v>43</v>
      </c>
      <c r="AM21" s="20">
        <v>41</v>
      </c>
      <c r="AN21" s="21">
        <f t="shared" si="11"/>
        <v>2</v>
      </c>
      <c r="AO21" s="22">
        <f t="shared" si="34"/>
        <v>22</v>
      </c>
      <c r="AP21" s="25">
        <f t="shared" si="12"/>
        <v>197</v>
      </c>
      <c r="AQ21" s="32">
        <v>39</v>
      </c>
      <c r="AR21" s="20">
        <v>38</v>
      </c>
      <c r="AS21" s="21">
        <f t="shared" si="13"/>
        <v>1</v>
      </c>
      <c r="AT21" s="22">
        <f t="shared" si="23"/>
        <v>0</v>
      </c>
      <c r="AU21" s="23">
        <v>219</v>
      </c>
      <c r="AV21" s="24">
        <v>38</v>
      </c>
      <c r="AW21" s="20">
        <v>32</v>
      </c>
      <c r="AX21" s="21">
        <f t="shared" si="14"/>
        <v>6</v>
      </c>
      <c r="AY21" s="22">
        <f t="shared" si="29"/>
        <v>45</v>
      </c>
      <c r="AZ21" s="23">
        <f t="shared" si="15"/>
        <v>208</v>
      </c>
      <c r="BA21" s="24">
        <v>44</v>
      </c>
      <c r="BB21" s="20">
        <v>44</v>
      </c>
      <c r="BC21" s="21">
        <f t="shared" si="16"/>
        <v>0</v>
      </c>
      <c r="BD21" s="22">
        <f t="shared" si="32"/>
        <v>0</v>
      </c>
      <c r="BE21" s="23">
        <f t="shared" si="17"/>
        <v>186</v>
      </c>
      <c r="BF21" s="24">
        <v>28</v>
      </c>
      <c r="BG21" s="20">
        <v>24</v>
      </c>
      <c r="BH21" s="21">
        <f t="shared" si="18"/>
        <v>4</v>
      </c>
      <c r="BI21" s="22">
        <f t="shared" si="35"/>
        <v>0</v>
      </c>
      <c r="BJ21" s="25">
        <f t="shared" si="19"/>
        <v>153</v>
      </c>
      <c r="BK21" s="4">
        <f t="shared" si="24"/>
        <v>186</v>
      </c>
      <c r="BL21" s="6">
        <f t="shared" si="25"/>
        <v>282</v>
      </c>
      <c r="BM21" s="8">
        <f t="shared" si="26"/>
        <v>214</v>
      </c>
    </row>
    <row r="22" spans="1:65">
      <c r="A22">
        <v>21</v>
      </c>
      <c r="B22" s="2">
        <v>45438</v>
      </c>
      <c r="C22" s="32">
        <v>34</v>
      </c>
      <c r="D22" s="20">
        <v>30</v>
      </c>
      <c r="E22" s="21">
        <f t="shared" si="0"/>
        <v>4</v>
      </c>
      <c r="F22" s="22">
        <f t="shared" si="20"/>
        <v>46</v>
      </c>
      <c r="G22" s="23">
        <v>215</v>
      </c>
      <c r="H22" s="24">
        <v>21</v>
      </c>
      <c r="I22" s="20">
        <v>17</v>
      </c>
      <c r="J22" s="21">
        <f t="shared" si="1"/>
        <v>4</v>
      </c>
      <c r="K22" s="22">
        <f t="shared" si="27"/>
        <v>8</v>
      </c>
      <c r="L22" s="23">
        <f t="shared" si="21"/>
        <v>204</v>
      </c>
      <c r="M22" s="24">
        <v>48</v>
      </c>
      <c r="N22" s="20">
        <v>48</v>
      </c>
      <c r="O22" s="21">
        <f t="shared" si="2"/>
        <v>0</v>
      </c>
      <c r="P22" s="22">
        <f t="shared" si="30"/>
        <v>21</v>
      </c>
      <c r="Q22" s="23">
        <f t="shared" si="3"/>
        <v>182</v>
      </c>
      <c r="R22" s="24">
        <v>17</v>
      </c>
      <c r="S22" s="20">
        <v>16</v>
      </c>
      <c r="T22" s="21">
        <f t="shared" si="4"/>
        <v>1</v>
      </c>
      <c r="U22" s="22">
        <f t="shared" si="33"/>
        <v>15</v>
      </c>
      <c r="V22" s="25">
        <f t="shared" si="5"/>
        <v>150</v>
      </c>
      <c r="W22" s="32">
        <v>34</v>
      </c>
      <c r="X22" s="20">
        <v>31</v>
      </c>
      <c r="Y22" s="21">
        <f t="shared" si="6"/>
        <v>3</v>
      </c>
      <c r="Z22" s="22">
        <f t="shared" si="22"/>
        <v>18</v>
      </c>
      <c r="AA22" s="23">
        <v>241</v>
      </c>
      <c r="AB22" s="24">
        <v>49</v>
      </c>
      <c r="AC22" s="20">
        <v>42</v>
      </c>
      <c r="AD22" s="21">
        <f t="shared" si="7"/>
        <v>7</v>
      </c>
      <c r="AE22" s="22">
        <f t="shared" si="28"/>
        <v>16</v>
      </c>
      <c r="AF22" s="23">
        <f t="shared" si="8"/>
        <v>228</v>
      </c>
      <c r="AG22" s="24">
        <v>13</v>
      </c>
      <c r="AH22" s="20">
        <v>12</v>
      </c>
      <c r="AI22" s="21">
        <f t="shared" si="9"/>
        <v>1</v>
      </c>
      <c r="AJ22" s="22">
        <f t="shared" si="31"/>
        <v>38</v>
      </c>
      <c r="AK22" s="23">
        <f t="shared" si="10"/>
        <v>204</v>
      </c>
      <c r="AL22" s="24">
        <v>13</v>
      </c>
      <c r="AM22" s="20">
        <v>9</v>
      </c>
      <c r="AN22" s="21">
        <f t="shared" si="11"/>
        <v>4</v>
      </c>
      <c r="AO22" s="22">
        <f t="shared" si="34"/>
        <v>45</v>
      </c>
      <c r="AP22" s="25">
        <f t="shared" si="12"/>
        <v>168</v>
      </c>
      <c r="AQ22" s="32">
        <v>46</v>
      </c>
      <c r="AR22" s="20">
        <v>44</v>
      </c>
      <c r="AS22" s="21">
        <f t="shared" si="13"/>
        <v>2</v>
      </c>
      <c r="AT22" s="22">
        <f t="shared" si="23"/>
        <v>38</v>
      </c>
      <c r="AU22" s="23">
        <v>277</v>
      </c>
      <c r="AV22" s="24">
        <v>28</v>
      </c>
      <c r="AW22" s="20">
        <v>17</v>
      </c>
      <c r="AX22" s="21">
        <f t="shared" si="14"/>
        <v>11</v>
      </c>
      <c r="AY22" s="22">
        <f t="shared" si="29"/>
        <v>15</v>
      </c>
      <c r="AZ22" s="23">
        <f t="shared" si="15"/>
        <v>263</v>
      </c>
      <c r="BA22" s="24">
        <v>15</v>
      </c>
      <c r="BB22" s="20">
        <v>12</v>
      </c>
      <c r="BC22" s="21">
        <f t="shared" si="16"/>
        <v>3</v>
      </c>
      <c r="BD22" s="22">
        <f t="shared" si="32"/>
        <v>41</v>
      </c>
      <c r="BE22" s="23">
        <f t="shared" si="17"/>
        <v>235</v>
      </c>
      <c r="BF22" s="24">
        <v>47</v>
      </c>
      <c r="BG22" s="20">
        <v>44</v>
      </c>
      <c r="BH22" s="21">
        <f t="shared" si="18"/>
        <v>3</v>
      </c>
      <c r="BI22" s="22">
        <f t="shared" si="35"/>
        <v>11</v>
      </c>
      <c r="BJ22" s="25">
        <f t="shared" si="19"/>
        <v>193</v>
      </c>
      <c r="BK22" s="4">
        <f t="shared" si="24"/>
        <v>207</v>
      </c>
      <c r="BL22" s="6">
        <f t="shared" si="25"/>
        <v>279</v>
      </c>
      <c r="BM22" s="8">
        <f t="shared" si="26"/>
        <v>181</v>
      </c>
    </row>
    <row r="23" spans="1:65">
      <c r="A23">
        <v>22</v>
      </c>
      <c r="B23" s="2">
        <v>45445</v>
      </c>
      <c r="C23" s="32">
        <v>42</v>
      </c>
      <c r="D23" s="20">
        <v>40</v>
      </c>
      <c r="E23" s="21">
        <f t="shared" si="0"/>
        <v>2</v>
      </c>
      <c r="F23" s="22">
        <f t="shared" si="20"/>
        <v>30</v>
      </c>
      <c r="G23" s="23">
        <v>194</v>
      </c>
      <c r="H23" s="24">
        <v>42</v>
      </c>
      <c r="I23" s="20">
        <v>40</v>
      </c>
      <c r="J23" s="21">
        <f t="shared" si="1"/>
        <v>2</v>
      </c>
      <c r="K23" s="22">
        <f t="shared" si="27"/>
        <v>34</v>
      </c>
      <c r="L23" s="23">
        <f t="shared" si="21"/>
        <v>184</v>
      </c>
      <c r="M23" s="24">
        <v>48</v>
      </c>
      <c r="N23" s="20">
        <v>44</v>
      </c>
      <c r="O23" s="21">
        <f t="shared" si="2"/>
        <v>4</v>
      </c>
      <c r="P23" s="22">
        <f t="shared" si="30"/>
        <v>42</v>
      </c>
      <c r="Q23" s="23">
        <f t="shared" si="3"/>
        <v>164</v>
      </c>
      <c r="R23" s="24">
        <v>44</v>
      </c>
      <c r="S23" s="20">
        <v>43</v>
      </c>
      <c r="T23" s="21">
        <f t="shared" si="4"/>
        <v>1</v>
      </c>
      <c r="U23" s="22">
        <f t="shared" si="33"/>
        <v>31</v>
      </c>
      <c r="V23" s="25">
        <f t="shared" si="5"/>
        <v>135</v>
      </c>
      <c r="W23" s="32">
        <v>19</v>
      </c>
      <c r="X23" s="20">
        <v>17</v>
      </c>
      <c r="Y23" s="21">
        <f t="shared" si="6"/>
        <v>2</v>
      </c>
      <c r="Z23" s="22">
        <f t="shared" si="22"/>
        <v>31</v>
      </c>
      <c r="AA23" s="23">
        <v>368</v>
      </c>
      <c r="AB23" s="24">
        <v>48</v>
      </c>
      <c r="AC23" s="20">
        <v>43</v>
      </c>
      <c r="AD23" s="21">
        <f t="shared" si="7"/>
        <v>5</v>
      </c>
      <c r="AE23" s="22">
        <f t="shared" si="28"/>
        <v>15</v>
      </c>
      <c r="AF23" s="23">
        <f t="shared" si="8"/>
        <v>349</v>
      </c>
      <c r="AG23" s="24">
        <v>33</v>
      </c>
      <c r="AH23" s="20">
        <v>33</v>
      </c>
      <c r="AI23" s="21">
        <f t="shared" si="9"/>
        <v>0</v>
      </c>
      <c r="AJ23" s="22">
        <f t="shared" si="31"/>
        <v>6</v>
      </c>
      <c r="AK23" s="23">
        <f t="shared" si="10"/>
        <v>312</v>
      </c>
      <c r="AL23" s="24">
        <v>26</v>
      </c>
      <c r="AM23" s="20">
        <v>21</v>
      </c>
      <c r="AN23" s="21">
        <f t="shared" si="11"/>
        <v>5</v>
      </c>
      <c r="AO23" s="22">
        <f t="shared" si="34"/>
        <v>28</v>
      </c>
      <c r="AP23" s="25">
        <f t="shared" si="12"/>
        <v>257</v>
      </c>
      <c r="AQ23" s="32">
        <v>38</v>
      </c>
      <c r="AR23" s="20">
        <v>33</v>
      </c>
      <c r="AS23" s="21">
        <f t="shared" si="13"/>
        <v>5</v>
      </c>
      <c r="AT23" s="22">
        <f t="shared" si="23"/>
        <v>44</v>
      </c>
      <c r="AU23" s="23">
        <v>219</v>
      </c>
      <c r="AV23" s="24">
        <v>49</v>
      </c>
      <c r="AW23" s="20">
        <v>44</v>
      </c>
      <c r="AX23" s="21">
        <f t="shared" si="14"/>
        <v>5</v>
      </c>
      <c r="AY23" s="22">
        <f t="shared" si="29"/>
        <v>44</v>
      </c>
      <c r="AZ23" s="23">
        <f t="shared" si="15"/>
        <v>208</v>
      </c>
      <c r="BA23" s="24">
        <v>7</v>
      </c>
      <c r="BB23" s="20">
        <v>6</v>
      </c>
      <c r="BC23" s="21">
        <f t="shared" si="16"/>
        <v>1</v>
      </c>
      <c r="BD23" s="22">
        <f t="shared" si="32"/>
        <v>42</v>
      </c>
      <c r="BE23" s="23">
        <f t="shared" si="17"/>
        <v>186</v>
      </c>
      <c r="BF23" s="24">
        <v>38</v>
      </c>
      <c r="BG23" s="20">
        <v>37</v>
      </c>
      <c r="BH23" s="21">
        <f t="shared" si="18"/>
        <v>1</v>
      </c>
      <c r="BI23" s="22">
        <f t="shared" si="35"/>
        <v>41</v>
      </c>
      <c r="BJ23" s="25">
        <f t="shared" si="19"/>
        <v>153</v>
      </c>
      <c r="BK23" s="4">
        <f t="shared" si="24"/>
        <v>233</v>
      </c>
      <c r="BL23" s="6">
        <f t="shared" si="25"/>
        <v>265</v>
      </c>
      <c r="BM23" s="8">
        <f t="shared" si="26"/>
        <v>235</v>
      </c>
    </row>
    <row r="24" spans="1:65">
      <c r="A24">
        <v>23</v>
      </c>
      <c r="B24" s="2">
        <v>45452</v>
      </c>
      <c r="C24" s="32">
        <v>6</v>
      </c>
      <c r="D24" s="20">
        <v>4</v>
      </c>
      <c r="E24" s="21">
        <f t="shared" si="0"/>
        <v>2</v>
      </c>
      <c r="F24" s="22">
        <f t="shared" si="20"/>
        <v>40</v>
      </c>
      <c r="G24" s="23">
        <v>211</v>
      </c>
      <c r="H24" s="24">
        <v>28</v>
      </c>
      <c r="I24" s="20">
        <v>24</v>
      </c>
      <c r="J24" s="21">
        <f t="shared" si="1"/>
        <v>4</v>
      </c>
      <c r="K24" s="22">
        <f t="shared" si="27"/>
        <v>7</v>
      </c>
      <c r="L24" s="23">
        <f t="shared" si="21"/>
        <v>200</v>
      </c>
      <c r="M24" s="24">
        <v>9</v>
      </c>
      <c r="N24" s="20">
        <v>7</v>
      </c>
      <c r="O24" s="21">
        <f t="shared" si="2"/>
        <v>2</v>
      </c>
      <c r="P24" s="22">
        <f t="shared" si="30"/>
        <v>0</v>
      </c>
      <c r="Q24" s="23">
        <f t="shared" si="3"/>
        <v>179</v>
      </c>
      <c r="R24" s="24">
        <v>46</v>
      </c>
      <c r="S24" s="20">
        <v>43</v>
      </c>
      <c r="T24" s="21">
        <f t="shared" si="4"/>
        <v>3</v>
      </c>
      <c r="U24" s="22">
        <f t="shared" si="33"/>
        <v>7</v>
      </c>
      <c r="V24" s="25">
        <f t="shared" si="5"/>
        <v>147</v>
      </c>
      <c r="W24" s="32">
        <v>31</v>
      </c>
      <c r="X24" s="20">
        <v>25</v>
      </c>
      <c r="Y24" s="21">
        <f t="shared" si="6"/>
        <v>6</v>
      </c>
      <c r="Z24" s="22">
        <f t="shared" si="22"/>
        <v>17</v>
      </c>
      <c r="AA24" s="23">
        <v>300</v>
      </c>
      <c r="AB24" s="24">
        <v>9</v>
      </c>
      <c r="AC24" s="20">
        <v>8</v>
      </c>
      <c r="AD24" s="21">
        <f t="shared" si="7"/>
        <v>1</v>
      </c>
      <c r="AE24" s="22">
        <f t="shared" si="28"/>
        <v>10</v>
      </c>
      <c r="AF24" s="23">
        <f t="shared" si="8"/>
        <v>285</v>
      </c>
      <c r="AG24" s="24">
        <v>18</v>
      </c>
      <c r="AH24" s="20">
        <v>0</v>
      </c>
      <c r="AI24" s="21">
        <f t="shared" si="9"/>
        <v>18</v>
      </c>
      <c r="AJ24" s="22">
        <f t="shared" si="31"/>
        <v>5</v>
      </c>
      <c r="AK24" s="23">
        <f t="shared" si="10"/>
        <v>255</v>
      </c>
      <c r="AL24" s="24">
        <v>47</v>
      </c>
      <c r="AM24" s="20">
        <v>45</v>
      </c>
      <c r="AN24" s="21">
        <f t="shared" si="11"/>
        <v>2</v>
      </c>
      <c r="AO24" s="22">
        <f t="shared" si="34"/>
        <v>20</v>
      </c>
      <c r="AP24" s="25">
        <f t="shared" si="12"/>
        <v>210</v>
      </c>
      <c r="AQ24" s="32">
        <v>34</v>
      </c>
      <c r="AR24" s="20">
        <v>33</v>
      </c>
      <c r="AS24" s="21">
        <f t="shared" si="13"/>
        <v>1</v>
      </c>
      <c r="AT24" s="22">
        <f t="shared" si="23"/>
        <v>33</v>
      </c>
      <c r="AU24" s="23">
        <v>270</v>
      </c>
      <c r="AV24" s="24">
        <v>39</v>
      </c>
      <c r="AW24" s="20">
        <v>32</v>
      </c>
      <c r="AX24" s="21">
        <f t="shared" si="14"/>
        <v>7</v>
      </c>
      <c r="AY24" s="22">
        <f t="shared" si="29"/>
        <v>31</v>
      </c>
      <c r="AZ24" s="23">
        <f t="shared" si="15"/>
        <v>256</v>
      </c>
      <c r="BA24" s="24">
        <v>10</v>
      </c>
      <c r="BB24" s="20">
        <v>8</v>
      </c>
      <c r="BC24" s="21">
        <f t="shared" si="16"/>
        <v>2</v>
      </c>
      <c r="BD24" s="22">
        <f t="shared" si="32"/>
        <v>24</v>
      </c>
      <c r="BE24" s="23">
        <f t="shared" si="17"/>
        <v>229</v>
      </c>
      <c r="BF24" s="24">
        <v>29</v>
      </c>
      <c r="BG24" s="20">
        <v>25</v>
      </c>
      <c r="BH24" s="21">
        <f t="shared" si="18"/>
        <v>4</v>
      </c>
      <c r="BI24" s="22">
        <f t="shared" si="35"/>
        <v>22</v>
      </c>
      <c r="BJ24" s="25">
        <f t="shared" si="19"/>
        <v>189</v>
      </c>
      <c r="BK24" s="4">
        <f t="shared" si="24"/>
        <v>120</v>
      </c>
      <c r="BL24" s="6">
        <f t="shared" si="25"/>
        <v>203</v>
      </c>
      <c r="BM24" s="8">
        <f t="shared" si="26"/>
        <v>225</v>
      </c>
    </row>
    <row r="25" spans="1:65">
      <c r="A25">
        <v>24</v>
      </c>
      <c r="B25" s="2">
        <v>45459</v>
      </c>
      <c r="C25" s="32">
        <v>25</v>
      </c>
      <c r="D25" s="20">
        <v>20</v>
      </c>
      <c r="E25" s="21">
        <f t="shared" si="0"/>
        <v>5</v>
      </c>
      <c r="F25" s="22">
        <f t="shared" si="20"/>
        <v>4</v>
      </c>
      <c r="G25" s="23">
        <v>283</v>
      </c>
      <c r="H25" s="24">
        <v>9</v>
      </c>
      <c r="I25" s="20">
        <v>8</v>
      </c>
      <c r="J25" s="21">
        <f t="shared" si="1"/>
        <v>1</v>
      </c>
      <c r="K25" s="22">
        <f t="shared" si="27"/>
        <v>13</v>
      </c>
      <c r="L25" s="23">
        <f t="shared" si="21"/>
        <v>268</v>
      </c>
      <c r="M25" s="24">
        <v>43</v>
      </c>
      <c r="N25" s="20">
        <v>41</v>
      </c>
      <c r="O25" s="21">
        <f t="shared" si="2"/>
        <v>2</v>
      </c>
      <c r="P25" s="22">
        <f t="shared" si="30"/>
        <v>14</v>
      </c>
      <c r="Q25" s="23">
        <f t="shared" si="3"/>
        <v>240</v>
      </c>
      <c r="R25" s="24">
        <v>13</v>
      </c>
      <c r="S25" s="20">
        <v>13</v>
      </c>
      <c r="T25" s="21">
        <f t="shared" si="4"/>
        <v>0</v>
      </c>
      <c r="U25" s="22">
        <f t="shared" si="33"/>
        <v>39</v>
      </c>
      <c r="V25" s="25">
        <f t="shared" si="5"/>
        <v>198</v>
      </c>
      <c r="W25" s="32">
        <v>38</v>
      </c>
      <c r="X25" s="20">
        <v>38</v>
      </c>
      <c r="Y25" s="21">
        <f t="shared" si="6"/>
        <v>0</v>
      </c>
      <c r="Z25" s="22">
        <f t="shared" si="22"/>
        <v>25</v>
      </c>
      <c r="AA25" s="23">
        <v>205</v>
      </c>
      <c r="AB25" s="24">
        <v>10</v>
      </c>
      <c r="AC25" s="20">
        <v>0</v>
      </c>
      <c r="AD25" s="21">
        <f t="shared" si="7"/>
        <v>10</v>
      </c>
      <c r="AE25" s="22">
        <f t="shared" si="28"/>
        <v>27</v>
      </c>
      <c r="AF25" s="23">
        <f t="shared" si="8"/>
        <v>194</v>
      </c>
      <c r="AG25" s="24">
        <v>44</v>
      </c>
      <c r="AH25" s="20">
        <v>44</v>
      </c>
      <c r="AI25" s="21">
        <f t="shared" si="9"/>
        <v>0</v>
      </c>
      <c r="AJ25" s="22">
        <f t="shared" si="31"/>
        <v>40</v>
      </c>
      <c r="AK25" s="23">
        <f t="shared" si="10"/>
        <v>174</v>
      </c>
      <c r="AL25" s="24">
        <v>8</v>
      </c>
      <c r="AM25" s="20">
        <v>6</v>
      </c>
      <c r="AN25" s="21">
        <f t="shared" si="11"/>
        <v>2</v>
      </c>
      <c r="AO25" s="22">
        <f t="shared" si="34"/>
        <v>0</v>
      </c>
      <c r="AP25" s="25">
        <f t="shared" si="12"/>
        <v>143</v>
      </c>
      <c r="AQ25" s="32">
        <v>17</v>
      </c>
      <c r="AR25" s="20">
        <v>17</v>
      </c>
      <c r="AS25" s="21">
        <f t="shared" si="13"/>
        <v>0</v>
      </c>
      <c r="AT25" s="22">
        <f t="shared" si="23"/>
        <v>33</v>
      </c>
      <c r="AU25" s="23">
        <v>212</v>
      </c>
      <c r="AV25" s="24">
        <v>10</v>
      </c>
      <c r="AW25" s="20">
        <v>8</v>
      </c>
      <c r="AX25" s="21">
        <f t="shared" si="14"/>
        <v>2</v>
      </c>
      <c r="AY25" s="22">
        <f t="shared" si="29"/>
        <v>32</v>
      </c>
      <c r="AZ25" s="23">
        <f t="shared" si="15"/>
        <v>201</v>
      </c>
      <c r="BA25" s="24">
        <v>13</v>
      </c>
      <c r="BB25" s="20">
        <v>11</v>
      </c>
      <c r="BC25" s="21">
        <f t="shared" si="16"/>
        <v>2</v>
      </c>
      <c r="BD25" s="22">
        <f t="shared" si="32"/>
        <v>11</v>
      </c>
      <c r="BE25" s="23">
        <f t="shared" si="17"/>
        <v>180</v>
      </c>
      <c r="BF25" s="24">
        <v>33</v>
      </c>
      <c r="BG25" s="20">
        <v>31</v>
      </c>
      <c r="BH25" s="21">
        <f t="shared" si="18"/>
        <v>2</v>
      </c>
      <c r="BI25" s="22">
        <f t="shared" si="35"/>
        <v>29</v>
      </c>
      <c r="BJ25" s="25">
        <f t="shared" si="19"/>
        <v>148</v>
      </c>
      <c r="BK25" s="4">
        <f t="shared" si="24"/>
        <v>112</v>
      </c>
      <c r="BL25" s="6">
        <f t="shared" si="25"/>
        <v>217</v>
      </c>
      <c r="BM25" s="8">
        <f t="shared" si="26"/>
        <v>232</v>
      </c>
    </row>
    <row r="26" spans="1:65">
      <c r="A26">
        <v>25</v>
      </c>
      <c r="B26" s="2">
        <v>45466</v>
      </c>
      <c r="C26" s="32">
        <v>37</v>
      </c>
      <c r="D26" s="20">
        <v>28</v>
      </c>
      <c r="E26" s="21">
        <f t="shared" si="0"/>
        <v>9</v>
      </c>
      <c r="F26" s="22">
        <f t="shared" si="20"/>
        <v>20</v>
      </c>
      <c r="G26" s="23">
        <v>177</v>
      </c>
      <c r="H26" s="24">
        <v>38</v>
      </c>
      <c r="I26" s="20">
        <v>32</v>
      </c>
      <c r="J26" s="21">
        <f t="shared" si="1"/>
        <v>6</v>
      </c>
      <c r="K26" s="22">
        <f t="shared" si="27"/>
        <v>17</v>
      </c>
      <c r="L26" s="23">
        <f t="shared" si="21"/>
        <v>168</v>
      </c>
      <c r="M26" s="24">
        <v>8</v>
      </c>
      <c r="N26" s="20">
        <v>0</v>
      </c>
      <c r="O26" s="21">
        <f t="shared" si="2"/>
        <v>8</v>
      </c>
      <c r="P26" s="22">
        <f t="shared" si="30"/>
        <v>43</v>
      </c>
      <c r="Q26" s="23">
        <f t="shared" si="3"/>
        <v>150</v>
      </c>
      <c r="R26" s="24">
        <v>31</v>
      </c>
      <c r="S26" s="20">
        <v>30</v>
      </c>
      <c r="T26" s="21">
        <f t="shared" si="4"/>
        <v>1</v>
      </c>
      <c r="U26" s="22">
        <f t="shared" si="33"/>
        <v>23</v>
      </c>
      <c r="V26" s="25">
        <f t="shared" si="5"/>
        <v>123</v>
      </c>
      <c r="W26" s="32">
        <v>42</v>
      </c>
      <c r="X26" s="20">
        <v>39</v>
      </c>
      <c r="Y26" s="21">
        <f t="shared" si="6"/>
        <v>3</v>
      </c>
      <c r="Z26" s="22">
        <f t="shared" si="22"/>
        <v>38</v>
      </c>
      <c r="AA26" s="23">
        <v>379</v>
      </c>
      <c r="AB26" s="24">
        <v>30</v>
      </c>
      <c r="AC26" s="20">
        <v>28</v>
      </c>
      <c r="AD26" s="21">
        <f t="shared" si="7"/>
        <v>2</v>
      </c>
      <c r="AE26" s="22">
        <f t="shared" si="28"/>
        <v>42</v>
      </c>
      <c r="AF26" s="23">
        <f t="shared" si="8"/>
        <v>360</v>
      </c>
      <c r="AG26" s="24">
        <v>45</v>
      </c>
      <c r="AH26" s="20">
        <v>45</v>
      </c>
      <c r="AI26" s="21">
        <f t="shared" si="9"/>
        <v>0</v>
      </c>
      <c r="AJ26" s="22">
        <f t="shared" si="31"/>
        <v>0</v>
      </c>
      <c r="AK26" s="23">
        <f t="shared" si="10"/>
        <v>322</v>
      </c>
      <c r="AL26" s="24">
        <v>30</v>
      </c>
      <c r="AM26" s="20">
        <v>28</v>
      </c>
      <c r="AN26" s="21">
        <f t="shared" si="11"/>
        <v>2</v>
      </c>
      <c r="AO26" s="22">
        <f t="shared" si="34"/>
        <v>34</v>
      </c>
      <c r="AP26" s="25">
        <f t="shared" si="12"/>
        <v>265</v>
      </c>
      <c r="AQ26" s="32">
        <v>17</v>
      </c>
      <c r="AR26" s="20">
        <v>16</v>
      </c>
      <c r="AS26" s="21">
        <f t="shared" si="13"/>
        <v>1</v>
      </c>
      <c r="AT26" s="22">
        <f t="shared" si="23"/>
        <v>17</v>
      </c>
      <c r="AU26" s="23">
        <v>185</v>
      </c>
      <c r="AV26" s="24">
        <v>23</v>
      </c>
      <c r="AW26" s="20">
        <v>14</v>
      </c>
      <c r="AX26" s="21">
        <f t="shared" si="14"/>
        <v>9</v>
      </c>
      <c r="AY26" s="22">
        <f t="shared" si="29"/>
        <v>17</v>
      </c>
      <c r="AZ26" s="23">
        <f t="shared" si="15"/>
        <v>175</v>
      </c>
      <c r="BA26" s="24">
        <v>10</v>
      </c>
      <c r="BB26" s="20">
        <v>7</v>
      </c>
      <c r="BC26" s="21">
        <f t="shared" si="16"/>
        <v>3</v>
      </c>
      <c r="BD26" s="22">
        <f t="shared" si="32"/>
        <v>31</v>
      </c>
      <c r="BE26" s="23">
        <f t="shared" si="17"/>
        <v>157</v>
      </c>
      <c r="BF26" s="24">
        <v>43</v>
      </c>
      <c r="BG26" s="20">
        <v>41</v>
      </c>
      <c r="BH26" s="21">
        <f t="shared" si="18"/>
        <v>2</v>
      </c>
      <c r="BI26" s="22">
        <f t="shared" si="35"/>
        <v>33</v>
      </c>
      <c r="BJ26" s="25">
        <f t="shared" si="19"/>
        <v>129</v>
      </c>
      <c r="BK26" s="4">
        <f t="shared" si="24"/>
        <v>133</v>
      </c>
      <c r="BL26" s="6">
        <f t="shared" si="25"/>
        <v>243</v>
      </c>
      <c r="BM26" s="8">
        <f t="shared" si="26"/>
        <v>263</v>
      </c>
    </row>
    <row r="27" spans="1:65">
      <c r="A27">
        <v>26</v>
      </c>
      <c r="B27" s="2">
        <v>45473</v>
      </c>
      <c r="C27" s="32">
        <v>16</v>
      </c>
      <c r="D27" s="20">
        <v>9</v>
      </c>
      <c r="E27" s="21">
        <f t="shared" si="0"/>
        <v>7</v>
      </c>
      <c r="F27" s="22">
        <f t="shared" si="20"/>
        <v>28</v>
      </c>
      <c r="G27" s="23">
        <v>177</v>
      </c>
      <c r="H27" s="24">
        <v>10</v>
      </c>
      <c r="I27" s="20">
        <v>5</v>
      </c>
      <c r="J27" s="21">
        <f t="shared" si="1"/>
        <v>5</v>
      </c>
      <c r="K27" s="22">
        <f t="shared" si="27"/>
        <v>40</v>
      </c>
      <c r="L27" s="23">
        <f t="shared" si="21"/>
        <v>168</v>
      </c>
      <c r="M27" s="24">
        <v>10</v>
      </c>
      <c r="N27" s="20">
        <v>6</v>
      </c>
      <c r="O27" s="21">
        <f t="shared" si="2"/>
        <v>4</v>
      </c>
      <c r="P27" s="22">
        <f t="shared" si="30"/>
        <v>37</v>
      </c>
      <c r="Q27" s="23">
        <f t="shared" si="3"/>
        <v>150</v>
      </c>
      <c r="R27" s="24">
        <v>6</v>
      </c>
      <c r="S27" s="20">
        <v>3</v>
      </c>
      <c r="T27" s="21">
        <f t="shared" si="4"/>
        <v>3</v>
      </c>
      <c r="U27" s="22">
        <f t="shared" si="33"/>
        <v>30</v>
      </c>
      <c r="V27" s="25">
        <f t="shared" si="5"/>
        <v>123</v>
      </c>
      <c r="W27" s="32">
        <v>37</v>
      </c>
      <c r="X27" s="20">
        <v>35</v>
      </c>
      <c r="Y27" s="21">
        <f t="shared" si="6"/>
        <v>2</v>
      </c>
      <c r="Z27" s="22">
        <f t="shared" si="22"/>
        <v>39</v>
      </c>
      <c r="AA27" s="23">
        <v>225</v>
      </c>
      <c r="AB27" s="24">
        <v>8</v>
      </c>
      <c r="AC27" s="20">
        <v>1</v>
      </c>
      <c r="AD27" s="21">
        <f t="shared" si="7"/>
        <v>7</v>
      </c>
      <c r="AE27" s="22">
        <f t="shared" si="28"/>
        <v>43</v>
      </c>
      <c r="AF27" s="23">
        <f t="shared" si="8"/>
        <v>213</v>
      </c>
      <c r="AG27" s="24">
        <v>26</v>
      </c>
      <c r="AH27" s="20">
        <v>24</v>
      </c>
      <c r="AI27" s="21">
        <f t="shared" si="9"/>
        <v>2</v>
      </c>
      <c r="AJ27" s="22">
        <f t="shared" si="31"/>
        <v>42</v>
      </c>
      <c r="AK27" s="23">
        <f t="shared" si="10"/>
        <v>191</v>
      </c>
      <c r="AL27" s="24">
        <v>33</v>
      </c>
      <c r="AM27" s="20">
        <v>31</v>
      </c>
      <c r="AN27" s="21">
        <f t="shared" si="11"/>
        <v>2</v>
      </c>
      <c r="AO27" s="22">
        <f t="shared" si="34"/>
        <v>25</v>
      </c>
      <c r="AP27" s="25">
        <f t="shared" si="12"/>
        <v>157</v>
      </c>
      <c r="AQ27" s="32">
        <v>22</v>
      </c>
      <c r="AR27" s="20">
        <v>20</v>
      </c>
      <c r="AS27" s="21">
        <f t="shared" si="13"/>
        <v>2</v>
      </c>
      <c r="AT27" s="22">
        <f t="shared" si="23"/>
        <v>16</v>
      </c>
      <c r="AU27" s="23">
        <v>326</v>
      </c>
      <c r="AV27" s="24">
        <v>34</v>
      </c>
      <c r="AW27" s="20">
        <v>33</v>
      </c>
      <c r="AX27" s="21">
        <f t="shared" si="14"/>
        <v>1</v>
      </c>
      <c r="AY27" s="22">
        <f t="shared" si="29"/>
        <v>44</v>
      </c>
      <c r="AZ27" s="23">
        <f t="shared" si="15"/>
        <v>309</v>
      </c>
      <c r="BA27" s="24">
        <v>13</v>
      </c>
      <c r="BB27" s="20">
        <v>8</v>
      </c>
      <c r="BC27" s="21">
        <f t="shared" si="16"/>
        <v>5</v>
      </c>
      <c r="BD27" s="22">
        <f t="shared" si="32"/>
        <v>44</v>
      </c>
      <c r="BE27" s="23">
        <f t="shared" si="17"/>
        <v>277</v>
      </c>
      <c r="BF27" s="24">
        <v>35</v>
      </c>
      <c r="BG27" s="20">
        <v>35</v>
      </c>
      <c r="BH27" s="21">
        <f t="shared" si="18"/>
        <v>0</v>
      </c>
      <c r="BI27" s="22">
        <f t="shared" si="35"/>
        <v>0</v>
      </c>
      <c r="BJ27" s="25">
        <f t="shared" si="19"/>
        <v>228</v>
      </c>
      <c r="BK27" s="4">
        <f t="shared" si="24"/>
        <v>178</v>
      </c>
      <c r="BL27" s="6">
        <f t="shared" si="25"/>
        <v>252</v>
      </c>
      <c r="BM27" s="8">
        <f t="shared" si="26"/>
        <v>289</v>
      </c>
    </row>
    <row r="28" spans="1:65">
      <c r="A28">
        <v>27</v>
      </c>
      <c r="B28" s="2">
        <v>45480</v>
      </c>
      <c r="C28" s="32">
        <v>26</v>
      </c>
      <c r="D28" s="20">
        <v>23</v>
      </c>
      <c r="E28" s="21">
        <f t="shared" si="0"/>
        <v>3</v>
      </c>
      <c r="F28" s="22">
        <f t="shared" si="20"/>
        <v>9</v>
      </c>
      <c r="G28" s="23">
        <v>257</v>
      </c>
      <c r="H28" s="24">
        <v>26</v>
      </c>
      <c r="I28" s="20">
        <v>24</v>
      </c>
      <c r="J28" s="21">
        <f t="shared" si="1"/>
        <v>2</v>
      </c>
      <c r="K28" s="22">
        <f t="shared" si="27"/>
        <v>24</v>
      </c>
      <c r="L28" s="23">
        <f t="shared" si="21"/>
        <v>244</v>
      </c>
      <c r="M28" s="24">
        <v>49</v>
      </c>
      <c r="N28" s="20">
        <v>47</v>
      </c>
      <c r="O28" s="21">
        <f t="shared" si="2"/>
        <v>2</v>
      </c>
      <c r="P28" s="22">
        <f t="shared" si="30"/>
        <v>12</v>
      </c>
      <c r="Q28" s="23">
        <f t="shared" si="3"/>
        <v>218</v>
      </c>
      <c r="R28" s="24">
        <v>9</v>
      </c>
      <c r="S28" s="20">
        <v>5</v>
      </c>
      <c r="T28" s="21">
        <f t="shared" si="4"/>
        <v>4</v>
      </c>
      <c r="U28" s="22">
        <f t="shared" si="33"/>
        <v>43</v>
      </c>
      <c r="V28" s="25">
        <f t="shared" si="5"/>
        <v>179</v>
      </c>
      <c r="W28" s="32">
        <v>28</v>
      </c>
      <c r="X28" s="20">
        <v>25</v>
      </c>
      <c r="Y28" s="21">
        <f t="shared" si="6"/>
        <v>3</v>
      </c>
      <c r="Z28" s="22">
        <f t="shared" si="22"/>
        <v>35</v>
      </c>
      <c r="AA28" s="23">
        <v>263</v>
      </c>
      <c r="AB28" s="24">
        <v>23</v>
      </c>
      <c r="AC28" s="20">
        <v>21</v>
      </c>
      <c r="AD28" s="21">
        <f t="shared" si="7"/>
        <v>2</v>
      </c>
      <c r="AE28" s="22">
        <f t="shared" si="28"/>
        <v>8</v>
      </c>
      <c r="AF28" s="23">
        <f t="shared" si="8"/>
        <v>249</v>
      </c>
      <c r="AG28" s="24">
        <v>15</v>
      </c>
      <c r="AH28" s="20">
        <v>0</v>
      </c>
      <c r="AI28" s="21">
        <f t="shared" si="9"/>
        <v>15</v>
      </c>
      <c r="AJ28" s="22">
        <f t="shared" si="31"/>
        <v>31</v>
      </c>
      <c r="AK28" s="23">
        <f t="shared" si="10"/>
        <v>223</v>
      </c>
      <c r="AL28" s="24">
        <v>49</v>
      </c>
      <c r="AM28" s="20">
        <v>49</v>
      </c>
      <c r="AN28" s="21">
        <f t="shared" si="11"/>
        <v>0</v>
      </c>
      <c r="AO28" s="22">
        <f t="shared" si="34"/>
        <v>31</v>
      </c>
      <c r="AP28" s="25">
        <f t="shared" si="12"/>
        <v>184</v>
      </c>
      <c r="AQ28" s="32">
        <v>36</v>
      </c>
      <c r="AR28" s="20">
        <v>32</v>
      </c>
      <c r="AS28" s="21">
        <f t="shared" si="13"/>
        <v>4</v>
      </c>
      <c r="AT28" s="22">
        <f t="shared" si="23"/>
        <v>20</v>
      </c>
      <c r="AU28" s="23">
        <v>259</v>
      </c>
      <c r="AV28" s="24">
        <v>11</v>
      </c>
      <c r="AW28" s="20">
        <v>6</v>
      </c>
      <c r="AX28" s="21">
        <f t="shared" si="14"/>
        <v>5</v>
      </c>
      <c r="AY28" s="22">
        <f t="shared" si="29"/>
        <v>32</v>
      </c>
      <c r="AZ28" s="23">
        <f t="shared" si="15"/>
        <v>246</v>
      </c>
      <c r="BA28" s="24">
        <v>43</v>
      </c>
      <c r="BB28" s="20">
        <v>41</v>
      </c>
      <c r="BC28" s="21">
        <f t="shared" si="16"/>
        <v>2</v>
      </c>
      <c r="BD28" s="22">
        <f t="shared" si="32"/>
        <v>44</v>
      </c>
      <c r="BE28" s="23">
        <f t="shared" si="17"/>
        <v>220</v>
      </c>
      <c r="BF28" s="24">
        <v>47</v>
      </c>
      <c r="BG28" s="20">
        <v>44</v>
      </c>
      <c r="BH28" s="21">
        <f t="shared" si="18"/>
        <v>3</v>
      </c>
      <c r="BI28" s="22">
        <f t="shared" si="35"/>
        <v>38</v>
      </c>
      <c r="BJ28" s="25">
        <f t="shared" si="19"/>
        <v>181</v>
      </c>
      <c r="BK28" s="4">
        <f t="shared" si="24"/>
        <v>243</v>
      </c>
      <c r="BL28" s="6">
        <f t="shared" si="25"/>
        <v>266</v>
      </c>
      <c r="BM28" s="8">
        <f t="shared" si="26"/>
        <v>327</v>
      </c>
    </row>
    <row r="29" spans="1:65">
      <c r="A29">
        <v>28</v>
      </c>
      <c r="B29" s="2">
        <v>45487</v>
      </c>
      <c r="C29" s="32">
        <v>48</v>
      </c>
      <c r="D29" s="20">
        <v>45</v>
      </c>
      <c r="E29" s="21">
        <f t="shared" si="0"/>
        <v>3</v>
      </c>
      <c r="F29" s="22">
        <f t="shared" si="20"/>
        <v>23</v>
      </c>
      <c r="G29" s="23">
        <v>193</v>
      </c>
      <c r="H29" s="24">
        <v>15</v>
      </c>
      <c r="I29" s="20">
        <v>12</v>
      </c>
      <c r="J29" s="21">
        <f t="shared" si="1"/>
        <v>3</v>
      </c>
      <c r="K29" s="22">
        <f t="shared" si="27"/>
        <v>8</v>
      </c>
      <c r="L29" s="23">
        <f t="shared" si="21"/>
        <v>183</v>
      </c>
      <c r="M29" s="24">
        <v>36</v>
      </c>
      <c r="N29" s="20">
        <v>33</v>
      </c>
      <c r="O29" s="21">
        <f t="shared" si="2"/>
        <v>3</v>
      </c>
      <c r="P29" s="22">
        <f t="shared" si="30"/>
        <v>0</v>
      </c>
      <c r="Q29" s="23">
        <f t="shared" si="3"/>
        <v>164</v>
      </c>
      <c r="R29" s="24">
        <v>33</v>
      </c>
      <c r="S29" s="20">
        <v>32</v>
      </c>
      <c r="T29" s="21">
        <f t="shared" si="4"/>
        <v>1</v>
      </c>
      <c r="U29" s="22">
        <f t="shared" si="33"/>
        <v>13</v>
      </c>
      <c r="V29" s="25">
        <f t="shared" si="5"/>
        <v>135</v>
      </c>
      <c r="W29" s="32">
        <v>19</v>
      </c>
      <c r="X29" s="20">
        <v>19</v>
      </c>
      <c r="Y29" s="21">
        <f t="shared" si="6"/>
        <v>0</v>
      </c>
      <c r="Z29" s="22">
        <f t="shared" si="22"/>
        <v>25</v>
      </c>
      <c r="AA29" s="23">
        <v>386</v>
      </c>
      <c r="AB29" s="24">
        <v>24</v>
      </c>
      <c r="AC29" s="20">
        <v>22</v>
      </c>
      <c r="AD29" s="21">
        <f t="shared" si="7"/>
        <v>2</v>
      </c>
      <c r="AE29" s="22">
        <f t="shared" si="28"/>
        <v>0</v>
      </c>
      <c r="AF29" s="23">
        <f t="shared" si="8"/>
        <v>366</v>
      </c>
      <c r="AG29" s="24">
        <v>27</v>
      </c>
      <c r="AH29" s="20">
        <v>0</v>
      </c>
      <c r="AI29" s="21">
        <f t="shared" si="9"/>
        <v>27</v>
      </c>
      <c r="AJ29" s="22">
        <f t="shared" si="31"/>
        <v>34</v>
      </c>
      <c r="AK29" s="23">
        <f t="shared" si="10"/>
        <v>328</v>
      </c>
      <c r="AL29" s="24">
        <v>38</v>
      </c>
      <c r="AM29" s="20">
        <v>33</v>
      </c>
      <c r="AN29" s="21">
        <f t="shared" si="11"/>
        <v>5</v>
      </c>
      <c r="AO29" s="22">
        <f t="shared" si="34"/>
        <v>20</v>
      </c>
      <c r="AP29" s="25">
        <f t="shared" si="12"/>
        <v>270</v>
      </c>
      <c r="AQ29" s="32">
        <v>36</v>
      </c>
      <c r="AR29" s="20">
        <v>36</v>
      </c>
      <c r="AS29" s="21">
        <f t="shared" si="13"/>
        <v>0</v>
      </c>
      <c r="AT29" s="22">
        <f t="shared" si="23"/>
        <v>32</v>
      </c>
      <c r="AU29" s="23">
        <v>347</v>
      </c>
      <c r="AV29" s="24">
        <v>14</v>
      </c>
      <c r="AW29" s="20">
        <v>10</v>
      </c>
      <c r="AX29" s="21">
        <f t="shared" si="14"/>
        <v>4</v>
      </c>
      <c r="AY29" s="22">
        <f t="shared" si="29"/>
        <v>8</v>
      </c>
      <c r="AZ29" s="23">
        <f t="shared" si="15"/>
        <v>329</v>
      </c>
      <c r="BA29" s="24">
        <v>35</v>
      </c>
      <c r="BB29" s="20">
        <v>34</v>
      </c>
      <c r="BC29" s="21">
        <f t="shared" si="16"/>
        <v>1</v>
      </c>
      <c r="BD29" s="22">
        <f t="shared" si="32"/>
        <v>44</v>
      </c>
      <c r="BE29" s="23">
        <f t="shared" si="17"/>
        <v>294</v>
      </c>
      <c r="BF29" s="24">
        <v>27</v>
      </c>
      <c r="BG29" s="20">
        <v>26</v>
      </c>
      <c r="BH29" s="21">
        <f t="shared" si="18"/>
        <v>1</v>
      </c>
      <c r="BI29" s="22">
        <f t="shared" si="35"/>
        <v>6</v>
      </c>
      <c r="BJ29" s="25">
        <f t="shared" si="19"/>
        <v>242</v>
      </c>
      <c r="BK29" s="4">
        <f t="shared" si="24"/>
        <v>188</v>
      </c>
      <c r="BL29" s="6">
        <f t="shared" si="25"/>
        <v>250</v>
      </c>
      <c r="BM29" s="8">
        <f t="shared" si="26"/>
        <v>294</v>
      </c>
    </row>
    <row r="30" spans="1:65">
      <c r="A30">
        <v>29</v>
      </c>
      <c r="B30" s="2">
        <v>45494</v>
      </c>
      <c r="C30" s="32">
        <v>29</v>
      </c>
      <c r="D30" s="20">
        <v>28</v>
      </c>
      <c r="E30" s="21">
        <f t="shared" si="0"/>
        <v>1</v>
      </c>
      <c r="F30" s="22">
        <f t="shared" si="20"/>
        <v>45</v>
      </c>
      <c r="G30" s="23">
        <v>233</v>
      </c>
      <c r="H30" s="24">
        <v>20</v>
      </c>
      <c r="I30" s="20">
        <v>16</v>
      </c>
      <c r="J30" s="21">
        <f t="shared" si="1"/>
        <v>4</v>
      </c>
      <c r="K30" s="22">
        <f t="shared" si="27"/>
        <v>32</v>
      </c>
      <c r="L30" s="23">
        <f t="shared" si="21"/>
        <v>221</v>
      </c>
      <c r="M30" s="24">
        <v>34</v>
      </c>
      <c r="N30" s="20">
        <v>33</v>
      </c>
      <c r="O30" s="21">
        <f t="shared" si="2"/>
        <v>1</v>
      </c>
      <c r="P30" s="22">
        <f t="shared" si="30"/>
        <v>48</v>
      </c>
      <c r="Q30" s="23">
        <f t="shared" si="3"/>
        <v>198</v>
      </c>
      <c r="R30" s="24">
        <v>41</v>
      </c>
      <c r="S30" s="20">
        <v>40</v>
      </c>
      <c r="T30" s="21">
        <f t="shared" si="4"/>
        <v>1</v>
      </c>
      <c r="U30" s="22">
        <f t="shared" si="33"/>
        <v>20</v>
      </c>
      <c r="V30" s="25">
        <f t="shared" si="5"/>
        <v>163</v>
      </c>
      <c r="W30" s="32">
        <v>34</v>
      </c>
      <c r="X30" s="20">
        <v>30</v>
      </c>
      <c r="Y30" s="21">
        <f t="shared" si="6"/>
        <v>4</v>
      </c>
      <c r="Z30" s="22">
        <f t="shared" si="22"/>
        <v>19</v>
      </c>
      <c r="AA30" s="23">
        <v>383</v>
      </c>
      <c r="AB30" s="24">
        <v>37</v>
      </c>
      <c r="AC30" s="20">
        <v>36</v>
      </c>
      <c r="AD30" s="21">
        <f t="shared" si="7"/>
        <v>1</v>
      </c>
      <c r="AE30" s="22">
        <f t="shared" si="28"/>
        <v>28</v>
      </c>
      <c r="AF30" s="23">
        <f t="shared" si="8"/>
        <v>363</v>
      </c>
      <c r="AG30" s="24">
        <v>5</v>
      </c>
      <c r="AH30" s="20">
        <v>0</v>
      </c>
      <c r="AI30" s="21">
        <f t="shared" si="9"/>
        <v>5</v>
      </c>
      <c r="AJ30" s="22">
        <f t="shared" si="31"/>
        <v>12</v>
      </c>
      <c r="AK30" s="23">
        <f t="shared" si="10"/>
        <v>325</v>
      </c>
      <c r="AL30" s="24">
        <v>27</v>
      </c>
      <c r="AM30" s="20">
        <v>27</v>
      </c>
      <c r="AN30" s="21">
        <f t="shared" si="11"/>
        <v>0</v>
      </c>
      <c r="AO30" s="22">
        <f t="shared" si="34"/>
        <v>16</v>
      </c>
      <c r="AP30" s="25">
        <f t="shared" si="12"/>
        <v>268</v>
      </c>
      <c r="AQ30" s="32">
        <v>39</v>
      </c>
      <c r="AR30" s="20">
        <v>37</v>
      </c>
      <c r="AS30" s="21">
        <f t="shared" si="13"/>
        <v>2</v>
      </c>
      <c r="AT30" s="22">
        <f t="shared" si="23"/>
        <v>36</v>
      </c>
      <c r="AU30" s="23">
        <v>271</v>
      </c>
      <c r="AV30" s="24">
        <v>45</v>
      </c>
      <c r="AW30" s="20">
        <v>43</v>
      </c>
      <c r="AX30" s="21">
        <f t="shared" si="14"/>
        <v>2</v>
      </c>
      <c r="AY30" s="22">
        <f t="shared" si="29"/>
        <v>14</v>
      </c>
      <c r="AZ30" s="23">
        <f t="shared" si="15"/>
        <v>257</v>
      </c>
      <c r="BA30" s="24">
        <v>36</v>
      </c>
      <c r="BB30" s="20">
        <v>36</v>
      </c>
      <c r="BC30" s="21">
        <f t="shared" si="16"/>
        <v>0</v>
      </c>
      <c r="BD30" s="22">
        <f t="shared" si="32"/>
        <v>12</v>
      </c>
      <c r="BE30" s="23">
        <f t="shared" si="17"/>
        <v>230</v>
      </c>
      <c r="BF30" s="24">
        <v>48</v>
      </c>
      <c r="BG30" s="20">
        <v>48</v>
      </c>
      <c r="BH30" s="21">
        <f t="shared" si="18"/>
        <v>0</v>
      </c>
      <c r="BI30" s="22">
        <f t="shared" si="35"/>
        <v>40</v>
      </c>
      <c r="BJ30" s="25">
        <f t="shared" si="19"/>
        <v>189</v>
      </c>
      <c r="BK30" s="4">
        <f t="shared" si="24"/>
        <v>211</v>
      </c>
      <c r="BL30" s="6">
        <f t="shared" si="25"/>
        <v>251</v>
      </c>
      <c r="BM30" s="8">
        <f t="shared" si="26"/>
        <v>290</v>
      </c>
    </row>
    <row r="31" spans="1:65">
      <c r="A31">
        <v>30</v>
      </c>
      <c r="B31" s="2">
        <v>45501</v>
      </c>
      <c r="C31" s="32">
        <v>31</v>
      </c>
      <c r="D31" s="20">
        <v>27</v>
      </c>
      <c r="E31" s="21">
        <f t="shared" si="0"/>
        <v>4</v>
      </c>
      <c r="F31" s="22">
        <f t="shared" si="20"/>
        <v>28</v>
      </c>
      <c r="G31" s="23">
        <v>179</v>
      </c>
      <c r="H31" s="24">
        <v>37</v>
      </c>
      <c r="I31" s="20">
        <v>33</v>
      </c>
      <c r="J31" s="21">
        <f t="shared" si="1"/>
        <v>4</v>
      </c>
      <c r="K31" s="22">
        <f t="shared" si="27"/>
        <v>5</v>
      </c>
      <c r="L31" s="23">
        <f t="shared" si="21"/>
        <v>170</v>
      </c>
      <c r="M31" s="24">
        <v>39</v>
      </c>
      <c r="N31" s="20">
        <v>37</v>
      </c>
      <c r="O31" s="21">
        <f t="shared" si="2"/>
        <v>2</v>
      </c>
      <c r="P31" s="22">
        <f t="shared" si="30"/>
        <v>44</v>
      </c>
      <c r="Q31" s="23">
        <f t="shared" si="3"/>
        <v>152</v>
      </c>
      <c r="R31" s="24">
        <v>42</v>
      </c>
      <c r="S31" s="20">
        <v>40</v>
      </c>
      <c r="T31" s="21">
        <f t="shared" si="4"/>
        <v>2</v>
      </c>
      <c r="U31" s="22">
        <f t="shared" si="33"/>
        <v>11</v>
      </c>
      <c r="V31" s="25">
        <f t="shared" si="5"/>
        <v>125</v>
      </c>
      <c r="W31" s="32">
        <v>46</v>
      </c>
      <c r="X31" s="20">
        <v>40</v>
      </c>
      <c r="Y31" s="21">
        <f t="shared" si="6"/>
        <v>6</v>
      </c>
      <c r="Z31" s="22">
        <f t="shared" si="22"/>
        <v>30</v>
      </c>
      <c r="AA31" s="23">
        <v>258</v>
      </c>
      <c r="AB31" s="24">
        <v>24</v>
      </c>
      <c r="AC31" s="20">
        <v>20</v>
      </c>
      <c r="AD31" s="21">
        <f t="shared" si="7"/>
        <v>4</v>
      </c>
      <c r="AE31" s="22">
        <f t="shared" si="28"/>
        <v>1</v>
      </c>
      <c r="AF31" s="23">
        <f t="shared" si="8"/>
        <v>245</v>
      </c>
      <c r="AG31" s="24">
        <v>41</v>
      </c>
      <c r="AH31" s="20">
        <v>40</v>
      </c>
      <c r="AI31" s="21">
        <f t="shared" si="9"/>
        <v>1</v>
      </c>
      <c r="AJ31" s="22">
        <f t="shared" si="31"/>
        <v>33</v>
      </c>
      <c r="AK31" s="23">
        <f t="shared" si="10"/>
        <v>219</v>
      </c>
      <c r="AL31" s="24">
        <v>41</v>
      </c>
      <c r="AM31" s="20">
        <v>40</v>
      </c>
      <c r="AN31" s="21">
        <f t="shared" si="11"/>
        <v>1</v>
      </c>
      <c r="AO31" s="22">
        <f t="shared" si="34"/>
        <v>11</v>
      </c>
      <c r="AP31" s="25">
        <f t="shared" si="12"/>
        <v>180</v>
      </c>
      <c r="AQ31" s="32">
        <v>43</v>
      </c>
      <c r="AR31" s="20">
        <v>40</v>
      </c>
      <c r="AS31" s="21">
        <f t="shared" si="13"/>
        <v>3</v>
      </c>
      <c r="AT31" s="22">
        <f t="shared" si="23"/>
        <v>37</v>
      </c>
      <c r="AU31" s="23">
        <v>276</v>
      </c>
      <c r="AV31" s="24">
        <v>36</v>
      </c>
      <c r="AW31" s="20">
        <v>33</v>
      </c>
      <c r="AX31" s="21">
        <f t="shared" si="14"/>
        <v>3</v>
      </c>
      <c r="AY31" s="22">
        <f t="shared" si="29"/>
        <v>33</v>
      </c>
      <c r="AZ31" s="23">
        <f t="shared" si="15"/>
        <v>262</v>
      </c>
      <c r="BA31" s="24">
        <v>45</v>
      </c>
      <c r="BB31" s="20">
        <v>45</v>
      </c>
      <c r="BC31" s="21">
        <f t="shared" si="16"/>
        <v>0</v>
      </c>
      <c r="BD31" s="22">
        <f t="shared" si="32"/>
        <v>6</v>
      </c>
      <c r="BE31" s="23">
        <f t="shared" si="17"/>
        <v>234</v>
      </c>
      <c r="BF31" s="24">
        <v>42</v>
      </c>
      <c r="BG31" s="20">
        <v>40</v>
      </c>
      <c r="BH31" s="21">
        <f t="shared" si="18"/>
        <v>2</v>
      </c>
      <c r="BI31" s="22">
        <f t="shared" si="35"/>
        <v>7</v>
      </c>
      <c r="BJ31" s="25">
        <f t="shared" si="19"/>
        <v>193</v>
      </c>
      <c r="BK31" s="4">
        <f t="shared" si="24"/>
        <v>182</v>
      </c>
      <c r="BL31" s="6">
        <f t="shared" si="25"/>
        <v>233</v>
      </c>
      <c r="BM31" s="8">
        <f t="shared" si="26"/>
        <v>209</v>
      </c>
    </row>
    <row r="32" spans="1:65">
      <c r="A32">
        <v>31</v>
      </c>
      <c r="B32" s="2">
        <v>45508</v>
      </c>
      <c r="C32" s="32">
        <v>46</v>
      </c>
      <c r="D32" s="20">
        <v>40</v>
      </c>
      <c r="E32" s="21">
        <f t="shared" si="0"/>
        <v>6</v>
      </c>
      <c r="F32" s="22">
        <f t="shared" si="20"/>
        <v>27</v>
      </c>
      <c r="G32" s="23">
        <v>224</v>
      </c>
      <c r="H32" s="24">
        <v>13</v>
      </c>
      <c r="I32" s="20">
        <v>10</v>
      </c>
      <c r="J32" s="21">
        <f t="shared" si="1"/>
        <v>3</v>
      </c>
      <c r="K32" s="22">
        <f t="shared" si="27"/>
        <v>24</v>
      </c>
      <c r="L32" s="23">
        <f t="shared" si="21"/>
        <v>212</v>
      </c>
      <c r="M32" s="24">
        <v>44</v>
      </c>
      <c r="N32" s="20">
        <v>44</v>
      </c>
      <c r="O32" s="21">
        <f t="shared" si="2"/>
        <v>0</v>
      </c>
      <c r="P32" s="22">
        <f t="shared" si="30"/>
        <v>7</v>
      </c>
      <c r="Q32" s="23">
        <f t="shared" si="3"/>
        <v>190</v>
      </c>
      <c r="R32" s="24">
        <v>23</v>
      </c>
      <c r="S32" s="20">
        <v>19</v>
      </c>
      <c r="T32" s="21">
        <f t="shared" si="4"/>
        <v>4</v>
      </c>
      <c r="U32" s="22">
        <f t="shared" si="33"/>
        <v>11</v>
      </c>
      <c r="V32" s="25">
        <f t="shared" si="5"/>
        <v>156</v>
      </c>
      <c r="W32" s="32">
        <v>21</v>
      </c>
      <c r="X32" s="20">
        <v>18</v>
      </c>
      <c r="Y32" s="21">
        <f t="shared" si="6"/>
        <v>3</v>
      </c>
      <c r="Z32" s="22">
        <f t="shared" si="22"/>
        <v>40</v>
      </c>
      <c r="AA32" s="23">
        <v>308</v>
      </c>
      <c r="AB32" s="24">
        <v>16</v>
      </c>
      <c r="AC32" s="20">
        <v>11</v>
      </c>
      <c r="AD32" s="21">
        <f t="shared" si="7"/>
        <v>5</v>
      </c>
      <c r="AE32" s="22">
        <f t="shared" si="28"/>
        <v>21</v>
      </c>
      <c r="AF32" s="23">
        <f t="shared" si="8"/>
        <v>292</v>
      </c>
      <c r="AG32" s="24">
        <v>25</v>
      </c>
      <c r="AH32" s="20">
        <v>25</v>
      </c>
      <c r="AI32" s="21">
        <f t="shared" si="9"/>
        <v>0</v>
      </c>
      <c r="AJ32" s="22">
        <f t="shared" si="31"/>
        <v>0</v>
      </c>
      <c r="AK32" s="23">
        <f t="shared" si="10"/>
        <v>261</v>
      </c>
      <c r="AL32" s="24">
        <v>15</v>
      </c>
      <c r="AM32" s="20">
        <v>11</v>
      </c>
      <c r="AN32" s="21">
        <f t="shared" si="11"/>
        <v>4</v>
      </c>
      <c r="AO32" s="22">
        <f t="shared" si="34"/>
        <v>0</v>
      </c>
      <c r="AP32" s="25">
        <f t="shared" si="12"/>
        <v>215</v>
      </c>
      <c r="AQ32" s="32">
        <v>33</v>
      </c>
      <c r="AR32" s="20">
        <v>30</v>
      </c>
      <c r="AS32" s="21">
        <f t="shared" si="13"/>
        <v>3</v>
      </c>
      <c r="AT32" s="22">
        <f t="shared" si="23"/>
        <v>40</v>
      </c>
      <c r="AU32" s="23">
        <v>238</v>
      </c>
      <c r="AV32" s="24">
        <v>38</v>
      </c>
      <c r="AW32" s="20">
        <v>33</v>
      </c>
      <c r="AX32" s="21">
        <f t="shared" si="14"/>
        <v>5</v>
      </c>
      <c r="AY32" s="22">
        <f t="shared" si="29"/>
        <v>6</v>
      </c>
      <c r="AZ32" s="23">
        <f t="shared" si="15"/>
        <v>226</v>
      </c>
      <c r="BA32" s="24">
        <v>16</v>
      </c>
      <c r="BB32" s="20">
        <v>12</v>
      </c>
      <c r="BC32" s="21">
        <f t="shared" si="16"/>
        <v>4</v>
      </c>
      <c r="BD32" s="22">
        <f t="shared" si="32"/>
        <v>8</v>
      </c>
      <c r="BE32" s="23">
        <f t="shared" si="17"/>
        <v>202</v>
      </c>
      <c r="BF32" s="24">
        <v>24</v>
      </c>
      <c r="BG32" s="20">
        <v>22</v>
      </c>
      <c r="BH32" s="21">
        <f t="shared" si="18"/>
        <v>2</v>
      </c>
      <c r="BI32" s="22">
        <f t="shared" si="35"/>
        <v>37</v>
      </c>
      <c r="BJ32" s="25">
        <f t="shared" si="19"/>
        <v>166</v>
      </c>
      <c r="BK32" s="4">
        <f t="shared" si="24"/>
        <v>114</v>
      </c>
      <c r="BL32" s="6">
        <f t="shared" si="25"/>
        <v>154</v>
      </c>
      <c r="BM32" s="8">
        <f t="shared" si="26"/>
        <v>142</v>
      </c>
    </row>
    <row r="33" spans="1:65">
      <c r="A33">
        <v>32</v>
      </c>
      <c r="B33" s="2">
        <v>45515</v>
      </c>
      <c r="C33" s="32">
        <v>32</v>
      </c>
      <c r="D33" s="20">
        <v>16</v>
      </c>
      <c r="E33" s="21">
        <f t="shared" si="0"/>
        <v>16</v>
      </c>
      <c r="F33" s="22">
        <f t="shared" si="20"/>
        <v>40</v>
      </c>
      <c r="G33" s="23">
        <v>277</v>
      </c>
      <c r="H33" s="24">
        <v>10</v>
      </c>
      <c r="I33" s="20">
        <v>8</v>
      </c>
      <c r="J33" s="21">
        <f t="shared" si="1"/>
        <v>2</v>
      </c>
      <c r="K33" s="22">
        <f t="shared" si="27"/>
        <v>12</v>
      </c>
      <c r="L33" s="23">
        <f t="shared" si="21"/>
        <v>263</v>
      </c>
      <c r="M33" s="24">
        <v>20</v>
      </c>
      <c r="N33" s="20">
        <v>18</v>
      </c>
      <c r="O33" s="21">
        <f t="shared" si="2"/>
        <v>2</v>
      </c>
      <c r="P33" s="22">
        <f t="shared" si="30"/>
        <v>41</v>
      </c>
      <c r="Q33" s="23">
        <f t="shared" si="3"/>
        <v>235</v>
      </c>
      <c r="R33" s="24">
        <v>12</v>
      </c>
      <c r="S33" s="20">
        <v>11</v>
      </c>
      <c r="T33" s="21">
        <f t="shared" si="4"/>
        <v>1</v>
      </c>
      <c r="U33" s="22">
        <f t="shared" si="33"/>
        <v>13</v>
      </c>
      <c r="V33" s="25">
        <f t="shared" si="5"/>
        <v>193</v>
      </c>
      <c r="W33" s="32">
        <v>9</v>
      </c>
      <c r="X33" s="20">
        <v>5</v>
      </c>
      <c r="Y33" s="21">
        <f t="shared" si="6"/>
        <v>4</v>
      </c>
      <c r="Z33" s="22">
        <f t="shared" si="22"/>
        <v>18</v>
      </c>
      <c r="AA33" s="23">
        <v>397</v>
      </c>
      <c r="AB33" s="24">
        <v>5</v>
      </c>
      <c r="AC33" s="20">
        <v>0</v>
      </c>
      <c r="AD33" s="21">
        <f t="shared" si="7"/>
        <v>5</v>
      </c>
      <c r="AE33" s="22">
        <f t="shared" si="28"/>
        <v>22</v>
      </c>
      <c r="AF33" s="23">
        <f t="shared" si="8"/>
        <v>377</v>
      </c>
      <c r="AG33" s="24">
        <v>30</v>
      </c>
      <c r="AH33" s="20">
        <v>25</v>
      </c>
      <c r="AI33" s="21">
        <f t="shared" si="9"/>
        <v>5</v>
      </c>
      <c r="AJ33" s="22">
        <f t="shared" si="31"/>
        <v>44</v>
      </c>
      <c r="AK33" s="23">
        <f t="shared" si="10"/>
        <v>337</v>
      </c>
      <c r="AL33" s="24">
        <v>10</v>
      </c>
      <c r="AM33" s="20">
        <v>6</v>
      </c>
      <c r="AN33" s="21">
        <f t="shared" si="11"/>
        <v>4</v>
      </c>
      <c r="AO33" s="22">
        <f t="shared" si="34"/>
        <v>44</v>
      </c>
      <c r="AP33" s="25">
        <f t="shared" si="12"/>
        <v>277</v>
      </c>
      <c r="AQ33" s="32">
        <v>33</v>
      </c>
      <c r="AR33" s="20">
        <v>30</v>
      </c>
      <c r="AS33" s="21">
        <f t="shared" si="13"/>
        <v>3</v>
      </c>
      <c r="AT33" s="22">
        <f t="shared" si="23"/>
        <v>30</v>
      </c>
      <c r="AU33" s="23">
        <v>238</v>
      </c>
      <c r="AV33" s="24">
        <v>32</v>
      </c>
      <c r="AW33" s="20">
        <v>22</v>
      </c>
      <c r="AX33" s="21">
        <f t="shared" si="14"/>
        <v>10</v>
      </c>
      <c r="AY33" s="22">
        <f t="shared" si="29"/>
        <v>10</v>
      </c>
      <c r="AZ33" s="23">
        <f t="shared" si="15"/>
        <v>226</v>
      </c>
      <c r="BA33" s="24">
        <v>12</v>
      </c>
      <c r="BB33" s="20">
        <v>0</v>
      </c>
      <c r="BC33" s="21">
        <f t="shared" si="16"/>
        <v>12</v>
      </c>
      <c r="BD33" s="22">
        <f t="shared" si="32"/>
        <v>11</v>
      </c>
      <c r="BE33" s="23">
        <f t="shared" si="17"/>
        <v>202</v>
      </c>
      <c r="BF33" s="24">
        <v>27</v>
      </c>
      <c r="BG33" s="20">
        <v>22</v>
      </c>
      <c r="BH33" s="21">
        <f t="shared" si="18"/>
        <v>5</v>
      </c>
      <c r="BI33" s="22">
        <f t="shared" si="35"/>
        <v>16</v>
      </c>
      <c r="BJ33" s="25">
        <f t="shared" si="19"/>
        <v>166</v>
      </c>
      <c r="BK33" s="4">
        <f t="shared" si="24"/>
        <v>107</v>
      </c>
      <c r="BL33" s="6">
        <f t="shared" si="25"/>
        <v>217</v>
      </c>
      <c r="BM33" s="8">
        <f t="shared" si="26"/>
        <v>112</v>
      </c>
    </row>
    <row r="34" spans="1:65">
      <c r="A34">
        <v>33</v>
      </c>
      <c r="B34" s="2">
        <v>45522</v>
      </c>
      <c r="C34" s="32">
        <v>20</v>
      </c>
      <c r="D34" s="20">
        <v>18</v>
      </c>
      <c r="E34" s="21">
        <f t="shared" si="0"/>
        <v>2</v>
      </c>
      <c r="F34" s="22">
        <f t="shared" si="20"/>
        <v>16</v>
      </c>
      <c r="G34" s="23">
        <v>241</v>
      </c>
      <c r="H34" s="24">
        <v>20</v>
      </c>
      <c r="I34" s="20">
        <v>18</v>
      </c>
      <c r="J34" s="21">
        <f t="shared" si="1"/>
        <v>2</v>
      </c>
      <c r="K34" s="22">
        <f t="shared" si="27"/>
        <v>16</v>
      </c>
      <c r="L34" s="23">
        <f t="shared" si="21"/>
        <v>228</v>
      </c>
      <c r="M34" s="24">
        <v>17</v>
      </c>
      <c r="N34" s="20">
        <v>13</v>
      </c>
      <c r="O34" s="21">
        <f t="shared" si="2"/>
        <v>4</v>
      </c>
      <c r="P34" s="22">
        <f t="shared" si="30"/>
        <v>0</v>
      </c>
      <c r="Q34" s="23">
        <f t="shared" si="3"/>
        <v>204</v>
      </c>
      <c r="R34" s="24">
        <v>49</v>
      </c>
      <c r="S34" s="20">
        <v>47</v>
      </c>
      <c r="T34" s="21">
        <f t="shared" si="4"/>
        <v>2</v>
      </c>
      <c r="U34" s="22">
        <f t="shared" si="33"/>
        <v>44</v>
      </c>
      <c r="V34" s="25">
        <f t="shared" si="5"/>
        <v>168</v>
      </c>
      <c r="W34" s="32">
        <v>33</v>
      </c>
      <c r="X34" s="20">
        <v>31</v>
      </c>
      <c r="Y34" s="21">
        <f t="shared" si="6"/>
        <v>2</v>
      </c>
      <c r="Z34" s="22">
        <f t="shared" si="22"/>
        <v>5</v>
      </c>
      <c r="AA34" s="23">
        <v>320</v>
      </c>
      <c r="AB34" s="24">
        <v>30</v>
      </c>
      <c r="AC34" s="20">
        <v>28</v>
      </c>
      <c r="AD34" s="21">
        <f t="shared" si="7"/>
        <v>2</v>
      </c>
      <c r="AE34" s="22">
        <f t="shared" si="28"/>
        <v>36</v>
      </c>
      <c r="AF34" s="23">
        <f t="shared" si="8"/>
        <v>304</v>
      </c>
      <c r="AG34" s="24">
        <v>40</v>
      </c>
      <c r="AH34" s="20">
        <v>35</v>
      </c>
      <c r="AI34" s="21">
        <f t="shared" si="9"/>
        <v>5</v>
      </c>
      <c r="AJ34" s="22">
        <f t="shared" si="31"/>
        <v>45</v>
      </c>
      <c r="AK34" s="23">
        <f t="shared" si="10"/>
        <v>272</v>
      </c>
      <c r="AL34" s="24">
        <v>22</v>
      </c>
      <c r="AM34" s="20">
        <v>22</v>
      </c>
      <c r="AN34" s="21">
        <f t="shared" si="11"/>
        <v>0</v>
      </c>
      <c r="AO34" s="22">
        <f t="shared" si="34"/>
        <v>0</v>
      </c>
      <c r="AP34" s="25">
        <f t="shared" si="12"/>
        <v>224</v>
      </c>
      <c r="AQ34" s="32">
        <v>48</v>
      </c>
      <c r="AR34" s="20">
        <v>44</v>
      </c>
      <c r="AS34" s="21">
        <f t="shared" si="13"/>
        <v>4</v>
      </c>
      <c r="AT34" s="22">
        <f t="shared" si="23"/>
        <v>30</v>
      </c>
      <c r="AU34" s="23">
        <v>227</v>
      </c>
      <c r="AV34" s="24">
        <v>19</v>
      </c>
      <c r="AW34" s="20">
        <v>12</v>
      </c>
      <c r="AX34" s="21">
        <f t="shared" si="14"/>
        <v>7</v>
      </c>
      <c r="AY34" s="22">
        <f t="shared" si="29"/>
        <v>43</v>
      </c>
      <c r="AZ34" s="23">
        <f t="shared" si="15"/>
        <v>215</v>
      </c>
      <c r="BA34" s="24">
        <v>12</v>
      </c>
      <c r="BB34" s="20">
        <v>10</v>
      </c>
      <c r="BC34" s="21">
        <f t="shared" si="16"/>
        <v>2</v>
      </c>
      <c r="BD34" s="22">
        <f t="shared" si="32"/>
        <v>7</v>
      </c>
      <c r="BE34" s="23">
        <f t="shared" si="17"/>
        <v>192</v>
      </c>
      <c r="BF34" s="24">
        <v>49</v>
      </c>
      <c r="BG34" s="20">
        <v>49</v>
      </c>
      <c r="BH34" s="21">
        <f t="shared" si="18"/>
        <v>0</v>
      </c>
      <c r="BI34" s="22">
        <f t="shared" si="35"/>
        <v>15</v>
      </c>
      <c r="BJ34" s="25">
        <f t="shared" si="19"/>
        <v>158</v>
      </c>
      <c r="BK34" s="4">
        <f t="shared" si="24"/>
        <v>130</v>
      </c>
      <c r="BL34" s="6">
        <f t="shared" si="25"/>
        <v>267</v>
      </c>
      <c r="BM34" s="8">
        <f t="shared" si="26"/>
        <v>133</v>
      </c>
    </row>
    <row r="35" spans="1:65">
      <c r="A35">
        <v>34</v>
      </c>
      <c r="B35" s="2">
        <v>45529</v>
      </c>
      <c r="C35" s="32">
        <v>19</v>
      </c>
      <c r="D35" s="20">
        <v>16</v>
      </c>
      <c r="E35" s="21">
        <f t="shared" si="0"/>
        <v>3</v>
      </c>
      <c r="F35" s="22">
        <f t="shared" si="20"/>
        <v>18</v>
      </c>
      <c r="G35" s="23">
        <v>278</v>
      </c>
      <c r="H35" s="24">
        <v>33</v>
      </c>
      <c r="I35" s="20">
        <v>30</v>
      </c>
      <c r="J35" s="21">
        <f t="shared" si="1"/>
        <v>3</v>
      </c>
      <c r="K35" s="22">
        <f t="shared" si="27"/>
        <v>33</v>
      </c>
      <c r="L35" s="23">
        <f t="shared" si="21"/>
        <v>264</v>
      </c>
      <c r="M35" s="24">
        <v>46</v>
      </c>
      <c r="N35" s="20">
        <v>39</v>
      </c>
      <c r="O35" s="21">
        <f t="shared" si="2"/>
        <v>7</v>
      </c>
      <c r="P35" s="22">
        <f t="shared" si="30"/>
        <v>6</v>
      </c>
      <c r="Q35" s="23">
        <f t="shared" si="3"/>
        <v>236</v>
      </c>
      <c r="R35" s="24">
        <v>5</v>
      </c>
      <c r="S35" s="20">
        <v>2</v>
      </c>
      <c r="T35" s="21">
        <f t="shared" si="4"/>
        <v>3</v>
      </c>
      <c r="U35" s="22">
        <f t="shared" si="33"/>
        <v>18</v>
      </c>
      <c r="V35" s="25">
        <f t="shared" si="5"/>
        <v>194</v>
      </c>
      <c r="W35" s="32">
        <v>8</v>
      </c>
      <c r="X35" s="20">
        <v>0</v>
      </c>
      <c r="Y35" s="21">
        <f t="shared" si="6"/>
        <v>8</v>
      </c>
      <c r="Z35" s="22">
        <f t="shared" si="22"/>
        <v>31</v>
      </c>
      <c r="AA35" s="23">
        <v>232</v>
      </c>
      <c r="AB35" s="24">
        <v>18</v>
      </c>
      <c r="AC35" s="20">
        <v>14</v>
      </c>
      <c r="AD35" s="21">
        <f t="shared" si="7"/>
        <v>4</v>
      </c>
      <c r="AE35" s="22">
        <f t="shared" si="28"/>
        <v>20</v>
      </c>
      <c r="AF35" s="23">
        <f t="shared" si="8"/>
        <v>220</v>
      </c>
      <c r="AG35" s="24">
        <v>27</v>
      </c>
      <c r="AH35" s="20">
        <v>22</v>
      </c>
      <c r="AI35" s="21">
        <f t="shared" si="9"/>
        <v>5</v>
      </c>
      <c r="AJ35" s="22">
        <f t="shared" si="31"/>
        <v>24</v>
      </c>
      <c r="AK35" s="23">
        <f t="shared" si="10"/>
        <v>197</v>
      </c>
      <c r="AL35" s="24">
        <v>25</v>
      </c>
      <c r="AM35" s="20">
        <v>25</v>
      </c>
      <c r="AN35" s="21">
        <f t="shared" si="11"/>
        <v>0</v>
      </c>
      <c r="AO35" s="22">
        <f t="shared" si="34"/>
        <v>49</v>
      </c>
      <c r="AP35" s="25">
        <f t="shared" si="12"/>
        <v>162</v>
      </c>
      <c r="AQ35" s="32">
        <v>20</v>
      </c>
      <c r="AR35" s="20">
        <v>15</v>
      </c>
      <c r="AS35" s="21">
        <f t="shared" si="13"/>
        <v>5</v>
      </c>
      <c r="AT35" s="22">
        <f t="shared" si="23"/>
        <v>44</v>
      </c>
      <c r="AU35" s="23">
        <v>348</v>
      </c>
      <c r="AV35" s="24">
        <v>34</v>
      </c>
      <c r="AW35" s="20">
        <v>33</v>
      </c>
      <c r="AX35" s="21">
        <f t="shared" si="14"/>
        <v>1</v>
      </c>
      <c r="AY35" s="22">
        <f t="shared" si="29"/>
        <v>33</v>
      </c>
      <c r="AZ35" s="23">
        <f t="shared" si="15"/>
        <v>330</v>
      </c>
      <c r="BA35" s="24">
        <v>32</v>
      </c>
      <c r="BB35" s="20">
        <v>32</v>
      </c>
      <c r="BC35" s="21">
        <f t="shared" si="16"/>
        <v>0</v>
      </c>
      <c r="BD35" s="22">
        <f t="shared" si="32"/>
        <v>8</v>
      </c>
      <c r="BE35" s="23">
        <f t="shared" si="17"/>
        <v>295</v>
      </c>
      <c r="BF35" s="24">
        <v>20</v>
      </c>
      <c r="BG35" s="20">
        <v>16</v>
      </c>
      <c r="BH35" s="21">
        <f t="shared" si="18"/>
        <v>4</v>
      </c>
      <c r="BI35" s="22">
        <f t="shared" si="35"/>
        <v>44</v>
      </c>
      <c r="BJ35" s="25">
        <f t="shared" si="19"/>
        <v>243</v>
      </c>
      <c r="BK35" s="4">
        <f t="shared" si="24"/>
        <v>109</v>
      </c>
      <c r="BL35" s="6">
        <f t="shared" si="25"/>
        <v>275</v>
      </c>
      <c r="BM35" s="8">
        <f t="shared" si="26"/>
        <v>147</v>
      </c>
    </row>
    <row r="36" spans="1:65">
      <c r="A36">
        <v>35</v>
      </c>
      <c r="B36" s="2">
        <v>45536</v>
      </c>
      <c r="C36" s="32">
        <v>48</v>
      </c>
      <c r="D36" s="20">
        <v>41</v>
      </c>
      <c r="E36" s="21">
        <f t="shared" si="0"/>
        <v>7</v>
      </c>
      <c r="F36" s="22">
        <f t="shared" si="20"/>
        <v>16</v>
      </c>
      <c r="G36" s="23">
        <v>270</v>
      </c>
      <c r="H36" s="24">
        <v>7</v>
      </c>
      <c r="I36" s="20">
        <v>5</v>
      </c>
      <c r="J36" s="21">
        <f t="shared" si="1"/>
        <v>2</v>
      </c>
      <c r="K36" s="22">
        <f t="shared" si="27"/>
        <v>10</v>
      </c>
      <c r="L36" s="23">
        <f t="shared" si="21"/>
        <v>256</v>
      </c>
      <c r="M36" s="24">
        <v>34</v>
      </c>
      <c r="N36" s="20">
        <v>32</v>
      </c>
      <c r="O36" s="21">
        <f t="shared" si="2"/>
        <v>2</v>
      </c>
      <c r="P36" s="22">
        <f t="shared" si="30"/>
        <v>47</v>
      </c>
      <c r="Q36" s="23">
        <f t="shared" si="3"/>
        <v>229</v>
      </c>
      <c r="R36" s="24">
        <v>26</v>
      </c>
      <c r="S36" s="20">
        <v>24</v>
      </c>
      <c r="T36" s="21">
        <f t="shared" si="4"/>
        <v>2</v>
      </c>
      <c r="U36" s="22">
        <f t="shared" si="33"/>
        <v>38</v>
      </c>
      <c r="V36" s="25">
        <f t="shared" si="5"/>
        <v>189</v>
      </c>
      <c r="W36" s="32">
        <v>14</v>
      </c>
      <c r="X36" s="20">
        <v>11</v>
      </c>
      <c r="Y36" s="21">
        <f t="shared" si="6"/>
        <v>3</v>
      </c>
      <c r="Z36" s="22">
        <f t="shared" si="22"/>
        <v>0</v>
      </c>
      <c r="AA36" s="23">
        <v>380</v>
      </c>
      <c r="AB36" s="24">
        <v>42</v>
      </c>
      <c r="AC36" s="20">
        <v>40</v>
      </c>
      <c r="AD36" s="21">
        <f t="shared" si="7"/>
        <v>2</v>
      </c>
      <c r="AE36" s="22">
        <f t="shared" si="28"/>
        <v>11</v>
      </c>
      <c r="AF36" s="23">
        <f t="shared" si="8"/>
        <v>361</v>
      </c>
      <c r="AG36" s="24">
        <v>5</v>
      </c>
      <c r="AH36" s="20">
        <v>0</v>
      </c>
      <c r="AI36" s="21">
        <f t="shared" si="9"/>
        <v>5</v>
      </c>
      <c r="AJ36" s="22">
        <f t="shared" si="31"/>
        <v>0</v>
      </c>
      <c r="AK36" s="23">
        <f t="shared" si="10"/>
        <v>323</v>
      </c>
      <c r="AL36" s="24">
        <v>46</v>
      </c>
      <c r="AM36" s="20">
        <v>42</v>
      </c>
      <c r="AN36" s="21">
        <f t="shared" si="11"/>
        <v>4</v>
      </c>
      <c r="AO36" s="22">
        <f t="shared" si="34"/>
        <v>22</v>
      </c>
      <c r="AP36" s="25">
        <f t="shared" si="12"/>
        <v>266</v>
      </c>
      <c r="AQ36" s="32">
        <v>48</v>
      </c>
      <c r="AR36" s="20">
        <v>44</v>
      </c>
      <c r="AS36" s="21">
        <f t="shared" si="13"/>
        <v>4</v>
      </c>
      <c r="AT36" s="22">
        <f t="shared" si="23"/>
        <v>15</v>
      </c>
      <c r="AU36" s="23">
        <v>192</v>
      </c>
      <c r="AV36" s="24">
        <v>41</v>
      </c>
      <c r="AW36" s="20">
        <v>41</v>
      </c>
      <c r="AX36" s="21">
        <f t="shared" si="14"/>
        <v>0</v>
      </c>
      <c r="AY36" s="22">
        <f t="shared" si="29"/>
        <v>33</v>
      </c>
      <c r="AZ36" s="23">
        <f t="shared" si="15"/>
        <v>182</v>
      </c>
      <c r="BA36" s="24">
        <v>24</v>
      </c>
      <c r="BB36" s="20">
        <v>22</v>
      </c>
      <c r="BC36" s="21">
        <f t="shared" si="16"/>
        <v>2</v>
      </c>
      <c r="BD36" s="22">
        <f t="shared" si="32"/>
        <v>41</v>
      </c>
      <c r="BE36" s="23">
        <f t="shared" si="17"/>
        <v>163</v>
      </c>
      <c r="BF36" s="24">
        <v>46</v>
      </c>
      <c r="BG36" s="20">
        <v>44</v>
      </c>
      <c r="BH36" s="21">
        <f t="shared" si="18"/>
        <v>2</v>
      </c>
      <c r="BI36" s="22">
        <f t="shared" si="35"/>
        <v>20</v>
      </c>
      <c r="BJ36" s="25">
        <f t="shared" si="19"/>
        <v>134</v>
      </c>
      <c r="BK36" s="4">
        <f t="shared" si="24"/>
        <v>133</v>
      </c>
      <c r="BL36" s="6">
        <f t="shared" si="25"/>
        <v>247</v>
      </c>
      <c r="BM36" s="8">
        <f t="shared" si="26"/>
        <v>160</v>
      </c>
    </row>
    <row r="37" spans="1:65">
      <c r="A37">
        <v>36</v>
      </c>
      <c r="B37" s="2">
        <v>45543</v>
      </c>
      <c r="C37" s="32">
        <v>7</v>
      </c>
      <c r="D37" s="20">
        <v>6</v>
      </c>
      <c r="E37" s="21">
        <f t="shared" si="0"/>
        <v>1</v>
      </c>
      <c r="F37" s="22">
        <f t="shared" si="20"/>
        <v>41</v>
      </c>
      <c r="G37" s="23">
        <v>176</v>
      </c>
      <c r="H37" s="24">
        <v>24</v>
      </c>
      <c r="I37" s="20">
        <v>20</v>
      </c>
      <c r="J37" s="21">
        <f t="shared" si="1"/>
        <v>4</v>
      </c>
      <c r="K37" s="22">
        <f t="shared" si="27"/>
        <v>8</v>
      </c>
      <c r="L37" s="23">
        <f t="shared" si="21"/>
        <v>167</v>
      </c>
      <c r="M37" s="24">
        <v>23</v>
      </c>
      <c r="N37" s="20">
        <v>22</v>
      </c>
      <c r="O37" s="21">
        <f t="shared" si="2"/>
        <v>1</v>
      </c>
      <c r="P37" s="22">
        <f t="shared" si="30"/>
        <v>33</v>
      </c>
      <c r="Q37" s="23">
        <f t="shared" si="3"/>
        <v>149</v>
      </c>
      <c r="R37" s="24">
        <v>21</v>
      </c>
      <c r="S37" s="20">
        <v>21</v>
      </c>
      <c r="T37" s="21">
        <f t="shared" si="4"/>
        <v>0</v>
      </c>
      <c r="U37" s="22">
        <f t="shared" si="33"/>
        <v>10</v>
      </c>
      <c r="V37" s="25">
        <f t="shared" si="5"/>
        <v>123</v>
      </c>
      <c r="W37" s="32">
        <v>21</v>
      </c>
      <c r="X37" s="20">
        <v>20</v>
      </c>
      <c r="Y37" s="21">
        <f t="shared" si="6"/>
        <v>1</v>
      </c>
      <c r="Z37" s="22">
        <f t="shared" si="22"/>
        <v>11</v>
      </c>
      <c r="AA37" s="23">
        <v>349</v>
      </c>
      <c r="AB37" s="24">
        <v>41</v>
      </c>
      <c r="AC37" s="20">
        <v>40</v>
      </c>
      <c r="AD37" s="21">
        <f t="shared" si="7"/>
        <v>1</v>
      </c>
      <c r="AE37" s="22">
        <f t="shared" si="28"/>
        <v>0</v>
      </c>
      <c r="AF37" s="23">
        <f t="shared" si="8"/>
        <v>331</v>
      </c>
      <c r="AG37" s="24">
        <v>44</v>
      </c>
      <c r="AH37" s="20">
        <v>44</v>
      </c>
      <c r="AI37" s="21">
        <f t="shared" si="9"/>
        <v>0</v>
      </c>
      <c r="AJ37" s="22">
        <f t="shared" si="31"/>
        <v>0</v>
      </c>
      <c r="AK37" s="23">
        <f t="shared" si="10"/>
        <v>296</v>
      </c>
      <c r="AL37" s="24">
        <v>40</v>
      </c>
      <c r="AM37" s="20">
        <v>40</v>
      </c>
      <c r="AN37" s="21">
        <f t="shared" si="11"/>
        <v>0</v>
      </c>
      <c r="AO37" s="22">
        <f t="shared" si="34"/>
        <v>41</v>
      </c>
      <c r="AP37" s="25">
        <f t="shared" si="12"/>
        <v>244</v>
      </c>
      <c r="AQ37" s="32">
        <v>14</v>
      </c>
      <c r="AR37" s="20">
        <v>13</v>
      </c>
      <c r="AS37" s="21">
        <f t="shared" si="13"/>
        <v>1</v>
      </c>
      <c r="AT37" s="22">
        <f t="shared" si="23"/>
        <v>44</v>
      </c>
      <c r="AU37" s="23">
        <v>286</v>
      </c>
      <c r="AV37" s="24">
        <v>33</v>
      </c>
      <c r="AW37" s="20">
        <v>31</v>
      </c>
      <c r="AX37" s="21">
        <f t="shared" si="14"/>
        <v>2</v>
      </c>
      <c r="AY37" s="22">
        <f t="shared" si="29"/>
        <v>22</v>
      </c>
      <c r="AZ37" s="23">
        <f t="shared" si="15"/>
        <v>271</v>
      </c>
      <c r="BA37" s="24">
        <v>11</v>
      </c>
      <c r="BB37" s="20">
        <v>10</v>
      </c>
      <c r="BC37" s="21">
        <f t="shared" si="16"/>
        <v>1</v>
      </c>
      <c r="BD37" s="22">
        <f t="shared" si="32"/>
        <v>34</v>
      </c>
      <c r="BE37" s="23">
        <f t="shared" si="17"/>
        <v>243</v>
      </c>
      <c r="BF37" s="24">
        <v>12</v>
      </c>
      <c r="BG37" s="20">
        <v>12</v>
      </c>
      <c r="BH37" s="21">
        <f t="shared" si="18"/>
        <v>0</v>
      </c>
      <c r="BI37" s="22">
        <f t="shared" si="35"/>
        <v>24</v>
      </c>
      <c r="BJ37" s="25">
        <f t="shared" si="19"/>
        <v>200</v>
      </c>
      <c r="BK37" s="4">
        <f t="shared" si="24"/>
        <v>123</v>
      </c>
      <c r="BL37" s="6">
        <f t="shared" si="25"/>
        <v>206</v>
      </c>
      <c r="BM37" s="8">
        <f t="shared" si="26"/>
        <v>133</v>
      </c>
    </row>
    <row r="38" spans="1:65">
      <c r="A38">
        <v>37</v>
      </c>
      <c r="B38" s="2">
        <v>45550</v>
      </c>
      <c r="C38" s="32">
        <v>41</v>
      </c>
      <c r="D38" s="20">
        <v>39</v>
      </c>
      <c r="E38" s="21">
        <f t="shared" si="0"/>
        <v>2</v>
      </c>
      <c r="F38" s="22">
        <f t="shared" si="20"/>
        <v>6</v>
      </c>
      <c r="G38" s="23">
        <v>270</v>
      </c>
      <c r="H38" s="24">
        <v>40</v>
      </c>
      <c r="I38" s="20">
        <v>36</v>
      </c>
      <c r="J38" s="21">
        <f t="shared" si="1"/>
        <v>4</v>
      </c>
      <c r="K38" s="22">
        <f t="shared" si="27"/>
        <v>18</v>
      </c>
      <c r="L38" s="23">
        <f t="shared" si="21"/>
        <v>256</v>
      </c>
      <c r="M38" s="24">
        <v>21</v>
      </c>
      <c r="N38" s="20">
        <v>16</v>
      </c>
      <c r="O38" s="21">
        <f t="shared" si="2"/>
        <v>5</v>
      </c>
      <c r="P38" s="22">
        <f t="shared" si="30"/>
        <v>33</v>
      </c>
      <c r="Q38" s="23">
        <f t="shared" si="3"/>
        <v>229</v>
      </c>
      <c r="R38" s="24">
        <v>11</v>
      </c>
      <c r="S38" s="20">
        <v>10</v>
      </c>
      <c r="T38" s="21">
        <f t="shared" si="4"/>
        <v>1</v>
      </c>
      <c r="U38" s="22">
        <f t="shared" si="33"/>
        <v>16</v>
      </c>
      <c r="V38" s="25">
        <f t="shared" si="5"/>
        <v>189</v>
      </c>
      <c r="W38" s="32">
        <v>14</v>
      </c>
      <c r="X38" s="20">
        <v>10</v>
      </c>
      <c r="Y38" s="21">
        <f t="shared" si="6"/>
        <v>4</v>
      </c>
      <c r="Z38" s="22">
        <f t="shared" si="22"/>
        <v>20</v>
      </c>
      <c r="AA38" s="23">
        <v>220</v>
      </c>
      <c r="AB38" s="24">
        <v>15</v>
      </c>
      <c r="AC38" s="20">
        <v>11</v>
      </c>
      <c r="AD38" s="21">
        <f t="shared" si="7"/>
        <v>4</v>
      </c>
      <c r="AE38" s="22">
        <f t="shared" si="28"/>
        <v>28</v>
      </c>
      <c r="AF38" s="23">
        <f t="shared" si="8"/>
        <v>209</v>
      </c>
      <c r="AG38" s="24">
        <v>19</v>
      </c>
      <c r="AH38" s="20">
        <v>13</v>
      </c>
      <c r="AI38" s="21">
        <f t="shared" si="9"/>
        <v>6</v>
      </c>
      <c r="AJ38" s="22">
        <f t="shared" si="31"/>
        <v>0</v>
      </c>
      <c r="AK38" s="23">
        <f t="shared" si="10"/>
        <v>187</v>
      </c>
      <c r="AL38" s="24">
        <v>45</v>
      </c>
      <c r="AM38" s="20">
        <v>44</v>
      </c>
      <c r="AN38" s="21">
        <f t="shared" si="11"/>
        <v>1</v>
      </c>
      <c r="AO38" s="22">
        <f t="shared" si="34"/>
        <v>9</v>
      </c>
      <c r="AP38" s="25">
        <f t="shared" si="12"/>
        <v>154</v>
      </c>
      <c r="AQ38" s="32">
        <v>34</v>
      </c>
      <c r="AR38" s="20">
        <v>33</v>
      </c>
      <c r="AS38" s="21">
        <f t="shared" si="13"/>
        <v>1</v>
      </c>
      <c r="AT38" s="22">
        <f t="shared" si="23"/>
        <v>13</v>
      </c>
      <c r="AU38" s="23">
        <v>224</v>
      </c>
      <c r="AV38" s="24">
        <v>26</v>
      </c>
      <c r="AW38" s="20">
        <v>22</v>
      </c>
      <c r="AX38" s="21">
        <f t="shared" si="14"/>
        <v>4</v>
      </c>
      <c r="AY38" s="22">
        <f t="shared" si="29"/>
        <v>12</v>
      </c>
      <c r="AZ38" s="23">
        <f t="shared" si="15"/>
        <v>212</v>
      </c>
      <c r="BA38" s="24">
        <v>15</v>
      </c>
      <c r="BB38" s="20">
        <v>10</v>
      </c>
      <c r="BC38" s="21">
        <f t="shared" si="16"/>
        <v>5</v>
      </c>
      <c r="BD38" s="22">
        <f t="shared" si="32"/>
        <v>36</v>
      </c>
      <c r="BE38" s="23">
        <f t="shared" si="17"/>
        <v>190</v>
      </c>
      <c r="BF38" s="24">
        <v>25</v>
      </c>
      <c r="BG38" s="20">
        <v>23</v>
      </c>
      <c r="BH38" s="21">
        <f t="shared" si="18"/>
        <v>2</v>
      </c>
      <c r="BI38" s="22">
        <f t="shared" si="35"/>
        <v>44</v>
      </c>
      <c r="BJ38" s="25">
        <f t="shared" si="19"/>
        <v>156</v>
      </c>
      <c r="BK38" s="4">
        <f t="shared" si="24"/>
        <v>127</v>
      </c>
      <c r="BL38" s="6">
        <f t="shared" si="25"/>
        <v>119</v>
      </c>
      <c r="BM38" s="8">
        <f t="shared" si="26"/>
        <v>172</v>
      </c>
    </row>
    <row r="39" spans="1:65">
      <c r="A39">
        <v>38</v>
      </c>
      <c r="B39" s="2">
        <v>45557</v>
      </c>
      <c r="C39" s="32">
        <v>11</v>
      </c>
      <c r="D39" s="20">
        <v>7</v>
      </c>
      <c r="E39" s="21">
        <f t="shared" si="0"/>
        <v>4</v>
      </c>
      <c r="F39" s="22">
        <f t="shared" si="20"/>
        <v>39</v>
      </c>
      <c r="G39" s="23">
        <v>265</v>
      </c>
      <c r="H39" s="24">
        <v>23</v>
      </c>
      <c r="I39" s="20">
        <v>20</v>
      </c>
      <c r="J39" s="21">
        <f t="shared" si="1"/>
        <v>3</v>
      </c>
      <c r="K39" s="22">
        <f t="shared" si="27"/>
        <v>30</v>
      </c>
      <c r="L39" s="23">
        <f t="shared" si="21"/>
        <v>251</v>
      </c>
      <c r="M39" s="24">
        <v>23</v>
      </c>
      <c r="N39" s="20">
        <v>22</v>
      </c>
      <c r="O39" s="21">
        <f t="shared" si="2"/>
        <v>1</v>
      </c>
      <c r="P39" s="22">
        <f t="shared" si="30"/>
        <v>37</v>
      </c>
      <c r="Q39" s="23">
        <f t="shared" si="3"/>
        <v>225</v>
      </c>
      <c r="R39" s="24">
        <v>29</v>
      </c>
      <c r="S39" s="20">
        <v>27</v>
      </c>
      <c r="T39" s="21">
        <f t="shared" si="4"/>
        <v>2</v>
      </c>
      <c r="U39" s="22">
        <f t="shared" si="33"/>
        <v>43</v>
      </c>
      <c r="V39" s="25">
        <f t="shared" si="5"/>
        <v>185</v>
      </c>
      <c r="W39" s="32">
        <v>21</v>
      </c>
      <c r="X39" s="20">
        <v>18</v>
      </c>
      <c r="Y39" s="21">
        <f t="shared" si="6"/>
        <v>3</v>
      </c>
      <c r="Z39" s="22">
        <f t="shared" si="22"/>
        <v>10</v>
      </c>
      <c r="AA39" s="23">
        <v>397</v>
      </c>
      <c r="AB39" s="24">
        <v>40</v>
      </c>
      <c r="AC39" s="20">
        <v>36</v>
      </c>
      <c r="AD39" s="21">
        <f t="shared" si="7"/>
        <v>4</v>
      </c>
      <c r="AE39" s="22">
        <f t="shared" si="28"/>
        <v>14</v>
      </c>
      <c r="AF39" s="23">
        <f t="shared" si="8"/>
        <v>377</v>
      </c>
      <c r="AG39" s="24">
        <v>25</v>
      </c>
      <c r="AH39" s="20">
        <v>25</v>
      </c>
      <c r="AI39" s="21">
        <f t="shared" si="9"/>
        <v>0</v>
      </c>
      <c r="AJ39" s="22">
        <f t="shared" si="31"/>
        <v>40</v>
      </c>
      <c r="AK39" s="23">
        <f t="shared" si="10"/>
        <v>337</v>
      </c>
      <c r="AL39" s="24">
        <v>42</v>
      </c>
      <c r="AM39" s="20">
        <v>41</v>
      </c>
      <c r="AN39" s="21">
        <f t="shared" si="11"/>
        <v>1</v>
      </c>
      <c r="AO39" s="22">
        <f t="shared" si="34"/>
        <v>21</v>
      </c>
      <c r="AP39" s="25">
        <f t="shared" si="12"/>
        <v>277</v>
      </c>
      <c r="AQ39" s="32">
        <v>29</v>
      </c>
      <c r="AR39" s="20">
        <v>29</v>
      </c>
      <c r="AS39" s="21">
        <f t="shared" si="13"/>
        <v>0</v>
      </c>
      <c r="AT39" s="22">
        <f t="shared" si="23"/>
        <v>33</v>
      </c>
      <c r="AU39" s="23">
        <v>268</v>
      </c>
      <c r="AV39" s="24">
        <v>8</v>
      </c>
      <c r="AW39" s="20">
        <v>0</v>
      </c>
      <c r="AX39" s="21">
        <f t="shared" si="14"/>
        <v>8</v>
      </c>
      <c r="AY39" s="22">
        <f t="shared" si="29"/>
        <v>33</v>
      </c>
      <c r="AZ39" s="23">
        <f t="shared" si="15"/>
        <v>254</v>
      </c>
      <c r="BA39" s="24">
        <v>24</v>
      </c>
      <c r="BB39" s="20">
        <v>22</v>
      </c>
      <c r="BC39" s="21">
        <f t="shared" si="16"/>
        <v>2</v>
      </c>
      <c r="BD39" s="22">
        <f t="shared" si="32"/>
        <v>45</v>
      </c>
      <c r="BE39" s="23">
        <f t="shared" si="17"/>
        <v>227</v>
      </c>
      <c r="BF39" s="24">
        <v>5</v>
      </c>
      <c r="BG39" s="20">
        <v>0</v>
      </c>
      <c r="BH39" s="21">
        <f t="shared" si="18"/>
        <v>5</v>
      </c>
      <c r="BI39" s="22">
        <f t="shared" si="35"/>
        <v>37</v>
      </c>
      <c r="BJ39" s="25">
        <f t="shared" si="19"/>
        <v>187</v>
      </c>
      <c r="BK39" s="4">
        <f t="shared" si="24"/>
        <v>175</v>
      </c>
      <c r="BL39" s="6">
        <f t="shared" si="25"/>
        <v>126</v>
      </c>
      <c r="BM39" s="8">
        <f t="shared" si="26"/>
        <v>232</v>
      </c>
    </row>
    <row r="40" spans="1:65">
      <c r="A40">
        <v>39</v>
      </c>
      <c r="B40" s="2">
        <v>45564</v>
      </c>
      <c r="C40" s="32">
        <v>25</v>
      </c>
      <c r="D40" s="20">
        <v>20</v>
      </c>
      <c r="E40" s="21">
        <f t="shared" si="0"/>
        <v>5</v>
      </c>
      <c r="F40" s="22">
        <f t="shared" si="20"/>
        <v>7</v>
      </c>
      <c r="G40" s="23">
        <v>152</v>
      </c>
      <c r="H40" s="24">
        <v>30</v>
      </c>
      <c r="I40" s="20">
        <v>24</v>
      </c>
      <c r="J40" s="21">
        <f t="shared" si="1"/>
        <v>6</v>
      </c>
      <c r="K40" s="22">
        <f t="shared" si="27"/>
        <v>5</v>
      </c>
      <c r="L40" s="23">
        <f t="shared" si="21"/>
        <v>144</v>
      </c>
      <c r="M40" s="24">
        <v>32</v>
      </c>
      <c r="N40" s="20">
        <v>26</v>
      </c>
      <c r="O40" s="21">
        <f t="shared" si="2"/>
        <v>6</v>
      </c>
      <c r="P40" s="22">
        <f t="shared" si="30"/>
        <v>44</v>
      </c>
      <c r="Q40" s="23">
        <f t="shared" si="3"/>
        <v>129</v>
      </c>
      <c r="R40" s="24">
        <v>49</v>
      </c>
      <c r="S40" s="20">
        <v>40</v>
      </c>
      <c r="T40" s="21">
        <f t="shared" si="4"/>
        <v>9</v>
      </c>
      <c r="U40" s="22">
        <f t="shared" si="33"/>
        <v>43</v>
      </c>
      <c r="V40" s="25">
        <f t="shared" si="5"/>
        <v>106</v>
      </c>
      <c r="W40" s="32">
        <v>24</v>
      </c>
      <c r="X40" s="20">
        <v>24</v>
      </c>
      <c r="Y40" s="21">
        <f t="shared" si="6"/>
        <v>0</v>
      </c>
      <c r="Z40" s="22">
        <f t="shared" si="22"/>
        <v>18</v>
      </c>
      <c r="AA40" s="23">
        <v>269</v>
      </c>
      <c r="AB40" s="24">
        <v>17</v>
      </c>
      <c r="AC40" s="20">
        <v>11</v>
      </c>
      <c r="AD40" s="21">
        <f t="shared" si="7"/>
        <v>6</v>
      </c>
      <c r="AE40" s="22">
        <f t="shared" si="28"/>
        <v>40</v>
      </c>
      <c r="AF40" s="23">
        <f t="shared" si="8"/>
        <v>255</v>
      </c>
      <c r="AG40" s="24">
        <v>13</v>
      </c>
      <c r="AH40" s="20">
        <v>0</v>
      </c>
      <c r="AI40" s="21">
        <f t="shared" si="9"/>
        <v>13</v>
      </c>
      <c r="AJ40" s="22">
        <f t="shared" si="31"/>
        <v>25</v>
      </c>
      <c r="AK40" s="23">
        <f t="shared" si="10"/>
        <v>228</v>
      </c>
      <c r="AL40" s="24">
        <v>38</v>
      </c>
      <c r="AM40" s="20">
        <v>38</v>
      </c>
      <c r="AN40" s="21">
        <f t="shared" si="11"/>
        <v>0</v>
      </c>
      <c r="AO40" s="22">
        <f t="shared" si="34"/>
        <v>45</v>
      </c>
      <c r="AP40" s="25">
        <f t="shared" si="12"/>
        <v>188</v>
      </c>
      <c r="AQ40" s="32">
        <v>43</v>
      </c>
      <c r="AR40" s="20">
        <v>43</v>
      </c>
      <c r="AS40" s="21">
        <f t="shared" si="13"/>
        <v>0</v>
      </c>
      <c r="AT40" s="22">
        <f t="shared" si="23"/>
        <v>29</v>
      </c>
      <c r="AU40" s="23">
        <v>349</v>
      </c>
      <c r="AV40" s="24">
        <v>24</v>
      </c>
      <c r="AW40" s="20">
        <v>12</v>
      </c>
      <c r="AX40" s="21">
        <f t="shared" si="14"/>
        <v>12</v>
      </c>
      <c r="AY40" s="22">
        <f t="shared" si="29"/>
        <v>41</v>
      </c>
      <c r="AZ40" s="23">
        <f t="shared" si="15"/>
        <v>331</v>
      </c>
      <c r="BA40" s="24">
        <v>20</v>
      </c>
      <c r="BB40" s="20">
        <v>20</v>
      </c>
      <c r="BC40" s="21">
        <f t="shared" si="16"/>
        <v>0</v>
      </c>
      <c r="BD40" s="22">
        <f t="shared" si="32"/>
        <v>12</v>
      </c>
      <c r="BE40" s="23">
        <f t="shared" si="17"/>
        <v>296</v>
      </c>
      <c r="BF40" s="24">
        <v>12</v>
      </c>
      <c r="BG40" s="20">
        <v>9</v>
      </c>
      <c r="BH40" s="21">
        <f t="shared" si="18"/>
        <v>3</v>
      </c>
      <c r="BI40" s="22">
        <f t="shared" si="35"/>
        <v>25</v>
      </c>
      <c r="BJ40" s="25">
        <f t="shared" si="19"/>
        <v>244</v>
      </c>
      <c r="BK40" s="4">
        <f t="shared" si="24"/>
        <v>198</v>
      </c>
      <c r="BL40" s="6">
        <f t="shared" si="25"/>
        <v>134</v>
      </c>
      <c r="BM40" s="8">
        <f t="shared" si="26"/>
        <v>288</v>
      </c>
    </row>
    <row r="41" spans="1:65">
      <c r="A41">
        <v>40</v>
      </c>
      <c r="B41" s="2">
        <v>45571</v>
      </c>
      <c r="C41" s="32">
        <v>13</v>
      </c>
      <c r="D41" s="20">
        <v>12</v>
      </c>
      <c r="E41" s="21">
        <f t="shared" si="0"/>
        <v>1</v>
      </c>
      <c r="F41" s="22">
        <f t="shared" si="20"/>
        <v>20</v>
      </c>
      <c r="G41" s="23">
        <v>252</v>
      </c>
      <c r="H41" s="24">
        <v>7</v>
      </c>
      <c r="I41" s="20">
        <v>6</v>
      </c>
      <c r="J41" s="21">
        <f t="shared" si="1"/>
        <v>1</v>
      </c>
      <c r="K41" s="22">
        <f t="shared" si="27"/>
        <v>20</v>
      </c>
      <c r="L41" s="23">
        <f t="shared" si="21"/>
        <v>239</v>
      </c>
      <c r="M41" s="24">
        <v>30</v>
      </c>
      <c r="N41" s="20">
        <v>28</v>
      </c>
      <c r="O41" s="21">
        <f t="shared" si="2"/>
        <v>2</v>
      </c>
      <c r="P41" s="22">
        <f t="shared" si="30"/>
        <v>18</v>
      </c>
      <c r="Q41" s="23">
        <f t="shared" si="3"/>
        <v>214</v>
      </c>
      <c r="R41" s="24">
        <v>8</v>
      </c>
      <c r="S41" s="20">
        <v>5</v>
      </c>
      <c r="T41" s="21">
        <f t="shared" si="4"/>
        <v>3</v>
      </c>
      <c r="U41" s="22">
        <f t="shared" si="33"/>
        <v>13</v>
      </c>
      <c r="V41" s="25">
        <f t="shared" si="5"/>
        <v>176</v>
      </c>
      <c r="W41" s="32">
        <v>28</v>
      </c>
      <c r="X41" s="20">
        <v>28</v>
      </c>
      <c r="Y41" s="21">
        <f t="shared" si="6"/>
        <v>0</v>
      </c>
      <c r="Z41" s="22">
        <f t="shared" si="22"/>
        <v>24</v>
      </c>
      <c r="AA41" s="23">
        <v>311</v>
      </c>
      <c r="AB41" s="24">
        <v>47</v>
      </c>
      <c r="AC41" s="20">
        <v>43</v>
      </c>
      <c r="AD41" s="21">
        <f t="shared" si="7"/>
        <v>4</v>
      </c>
      <c r="AE41" s="22">
        <f t="shared" si="28"/>
        <v>40</v>
      </c>
      <c r="AF41" s="23">
        <f t="shared" si="8"/>
        <v>295</v>
      </c>
      <c r="AG41" s="24">
        <v>13</v>
      </c>
      <c r="AH41" s="20">
        <v>0</v>
      </c>
      <c r="AI41" s="21">
        <f t="shared" si="9"/>
        <v>13</v>
      </c>
      <c r="AJ41" s="22">
        <f t="shared" si="31"/>
        <v>25</v>
      </c>
      <c r="AK41" s="23">
        <f t="shared" si="10"/>
        <v>264</v>
      </c>
      <c r="AL41" s="24">
        <v>21</v>
      </c>
      <c r="AM41" s="20">
        <v>21</v>
      </c>
      <c r="AN41" s="21">
        <f t="shared" si="11"/>
        <v>0</v>
      </c>
      <c r="AO41" s="22">
        <f t="shared" si="34"/>
        <v>6</v>
      </c>
      <c r="AP41" s="25">
        <f t="shared" si="12"/>
        <v>217</v>
      </c>
      <c r="AQ41" s="32">
        <v>24</v>
      </c>
      <c r="AR41" s="20">
        <v>24</v>
      </c>
      <c r="AS41" s="21">
        <f t="shared" si="13"/>
        <v>0</v>
      </c>
      <c r="AT41" s="22">
        <f t="shared" si="23"/>
        <v>43</v>
      </c>
      <c r="AU41" s="23">
        <v>279</v>
      </c>
      <c r="AV41" s="24">
        <v>36</v>
      </c>
      <c r="AW41" s="20">
        <v>29</v>
      </c>
      <c r="AX41" s="21">
        <f t="shared" si="14"/>
        <v>7</v>
      </c>
      <c r="AY41" s="22">
        <f t="shared" si="29"/>
        <v>31</v>
      </c>
      <c r="AZ41" s="23">
        <f t="shared" si="15"/>
        <v>265</v>
      </c>
      <c r="BA41" s="24">
        <v>8</v>
      </c>
      <c r="BB41" s="20">
        <v>0</v>
      </c>
      <c r="BC41" s="21">
        <f t="shared" si="16"/>
        <v>8</v>
      </c>
      <c r="BD41" s="22">
        <f t="shared" si="32"/>
        <v>0</v>
      </c>
      <c r="BE41" s="23">
        <f t="shared" si="17"/>
        <v>237</v>
      </c>
      <c r="BF41" s="24">
        <v>33</v>
      </c>
      <c r="BG41" s="20">
        <v>33</v>
      </c>
      <c r="BH41" s="21">
        <f t="shared" si="18"/>
        <v>0</v>
      </c>
      <c r="BI41" s="22">
        <f t="shared" si="35"/>
        <v>31</v>
      </c>
      <c r="BJ41" s="25">
        <f t="shared" si="19"/>
        <v>195</v>
      </c>
      <c r="BK41" s="4">
        <f t="shared" si="24"/>
        <v>159</v>
      </c>
      <c r="BL41" s="6">
        <f t="shared" si="25"/>
        <v>156</v>
      </c>
      <c r="BM41" s="8">
        <f t="shared" si="26"/>
        <v>309</v>
      </c>
    </row>
    <row r="42" spans="1:65">
      <c r="A42">
        <v>41</v>
      </c>
      <c r="B42" s="2">
        <v>45578</v>
      </c>
      <c r="C42" s="32">
        <v>43</v>
      </c>
      <c r="D42" s="20">
        <v>34</v>
      </c>
      <c r="E42" s="21">
        <f t="shared" si="0"/>
        <v>9</v>
      </c>
      <c r="F42" s="22">
        <f t="shared" si="20"/>
        <v>12</v>
      </c>
      <c r="G42" s="23">
        <v>286</v>
      </c>
      <c r="H42" s="24">
        <v>23</v>
      </c>
      <c r="I42" s="20">
        <v>19</v>
      </c>
      <c r="J42" s="21">
        <f t="shared" si="1"/>
        <v>4</v>
      </c>
      <c r="K42" s="22">
        <f t="shared" si="27"/>
        <v>36</v>
      </c>
      <c r="L42" s="23">
        <f t="shared" si="21"/>
        <v>271</v>
      </c>
      <c r="M42" s="24">
        <v>41</v>
      </c>
      <c r="N42" s="20">
        <v>37</v>
      </c>
      <c r="O42" s="21">
        <f t="shared" si="2"/>
        <v>4</v>
      </c>
      <c r="P42" s="22">
        <f t="shared" si="30"/>
        <v>13</v>
      </c>
      <c r="Q42" s="23">
        <f t="shared" si="3"/>
        <v>243</v>
      </c>
      <c r="R42" s="24">
        <v>40</v>
      </c>
      <c r="S42" s="20">
        <v>40</v>
      </c>
      <c r="T42" s="21">
        <f t="shared" si="4"/>
        <v>0</v>
      </c>
      <c r="U42" s="22">
        <f t="shared" si="33"/>
        <v>30</v>
      </c>
      <c r="V42" s="25">
        <f t="shared" si="5"/>
        <v>200</v>
      </c>
      <c r="W42" s="32">
        <v>9</v>
      </c>
      <c r="X42" s="20">
        <v>9</v>
      </c>
      <c r="Y42" s="21">
        <f t="shared" si="6"/>
        <v>0</v>
      </c>
      <c r="Z42" s="22">
        <f t="shared" si="22"/>
        <v>28</v>
      </c>
      <c r="AA42" s="23">
        <v>203</v>
      </c>
      <c r="AB42" s="24">
        <v>7</v>
      </c>
      <c r="AC42" s="20">
        <v>0</v>
      </c>
      <c r="AD42" s="21">
        <f t="shared" si="7"/>
        <v>7</v>
      </c>
      <c r="AE42" s="22">
        <f t="shared" si="28"/>
        <v>11</v>
      </c>
      <c r="AF42" s="23">
        <f t="shared" si="8"/>
        <v>192</v>
      </c>
      <c r="AG42" s="24">
        <v>14</v>
      </c>
      <c r="AH42" s="20">
        <v>13</v>
      </c>
      <c r="AI42" s="21">
        <f t="shared" si="9"/>
        <v>1</v>
      </c>
      <c r="AJ42" s="22">
        <f t="shared" si="31"/>
        <v>35</v>
      </c>
      <c r="AK42" s="23">
        <f t="shared" si="10"/>
        <v>172</v>
      </c>
      <c r="AL42" s="24">
        <v>41</v>
      </c>
      <c r="AM42" s="20">
        <v>40</v>
      </c>
      <c r="AN42" s="21">
        <f t="shared" si="11"/>
        <v>1</v>
      </c>
      <c r="AO42" s="22">
        <f t="shared" si="34"/>
        <v>28</v>
      </c>
      <c r="AP42" s="25">
        <f t="shared" si="12"/>
        <v>142</v>
      </c>
      <c r="AQ42" s="32">
        <v>9</v>
      </c>
      <c r="AR42" s="20">
        <v>4</v>
      </c>
      <c r="AS42" s="21">
        <f t="shared" si="13"/>
        <v>5</v>
      </c>
      <c r="AT42" s="22">
        <f t="shared" si="23"/>
        <v>24</v>
      </c>
      <c r="AU42" s="23">
        <v>334</v>
      </c>
      <c r="AV42" s="24">
        <v>40</v>
      </c>
      <c r="AW42" s="20">
        <v>40</v>
      </c>
      <c r="AX42" s="21">
        <f t="shared" si="14"/>
        <v>0</v>
      </c>
      <c r="AY42" s="22">
        <f t="shared" si="29"/>
        <v>22</v>
      </c>
      <c r="AZ42" s="23">
        <f t="shared" si="15"/>
        <v>317</v>
      </c>
      <c r="BA42" s="24">
        <v>10</v>
      </c>
      <c r="BB42" s="20">
        <v>6</v>
      </c>
      <c r="BC42" s="21">
        <f t="shared" si="16"/>
        <v>4</v>
      </c>
      <c r="BD42" s="22">
        <f t="shared" si="32"/>
        <v>10</v>
      </c>
      <c r="BE42" s="23">
        <f t="shared" si="17"/>
        <v>283</v>
      </c>
      <c r="BF42" s="24">
        <v>36</v>
      </c>
      <c r="BG42" s="20">
        <v>33</v>
      </c>
      <c r="BH42" s="21">
        <f t="shared" si="18"/>
        <v>3</v>
      </c>
      <c r="BI42" s="22">
        <f t="shared" si="35"/>
        <v>41</v>
      </c>
      <c r="BJ42" s="25">
        <f t="shared" si="19"/>
        <v>233</v>
      </c>
      <c r="BK42" s="4">
        <f t="shared" si="24"/>
        <v>199</v>
      </c>
      <c r="BL42" s="6">
        <f t="shared" si="25"/>
        <v>166</v>
      </c>
      <c r="BM42" s="8">
        <f t="shared" si="26"/>
        <v>320</v>
      </c>
    </row>
    <row r="43" spans="1:65">
      <c r="A43">
        <v>42</v>
      </c>
      <c r="B43" s="2">
        <v>45585</v>
      </c>
      <c r="C43" s="32">
        <v>22</v>
      </c>
      <c r="D43" s="20">
        <v>14</v>
      </c>
      <c r="E43" s="21">
        <f t="shared" si="0"/>
        <v>8</v>
      </c>
      <c r="F43" s="22">
        <f t="shared" si="20"/>
        <v>34</v>
      </c>
      <c r="G43" s="23">
        <v>211</v>
      </c>
      <c r="H43" s="24">
        <v>24</v>
      </c>
      <c r="I43" s="20">
        <v>18</v>
      </c>
      <c r="J43" s="21">
        <f t="shared" si="1"/>
        <v>6</v>
      </c>
      <c r="K43" s="22">
        <f t="shared" si="27"/>
        <v>20</v>
      </c>
      <c r="L43" s="23">
        <f t="shared" si="21"/>
        <v>200</v>
      </c>
      <c r="M43" s="24">
        <v>30</v>
      </c>
      <c r="N43" s="20">
        <v>29</v>
      </c>
      <c r="O43" s="21">
        <f t="shared" si="2"/>
        <v>1</v>
      </c>
      <c r="P43" s="22">
        <f t="shared" si="30"/>
        <v>39</v>
      </c>
      <c r="Q43" s="23">
        <f t="shared" si="3"/>
        <v>179</v>
      </c>
      <c r="R43" s="24">
        <v>10</v>
      </c>
      <c r="S43" s="20">
        <v>10</v>
      </c>
      <c r="T43" s="21">
        <f t="shared" si="4"/>
        <v>0</v>
      </c>
      <c r="U43" s="22">
        <f t="shared" si="33"/>
        <v>3</v>
      </c>
      <c r="V43" s="25">
        <f t="shared" si="5"/>
        <v>147</v>
      </c>
      <c r="W43" s="32">
        <v>38</v>
      </c>
      <c r="X43" s="20">
        <v>38</v>
      </c>
      <c r="Y43" s="21">
        <f t="shared" si="6"/>
        <v>0</v>
      </c>
      <c r="Z43" s="22">
        <f t="shared" si="22"/>
        <v>9</v>
      </c>
      <c r="AA43" s="23">
        <v>293</v>
      </c>
      <c r="AB43" s="24">
        <v>37</v>
      </c>
      <c r="AC43" s="20">
        <v>33</v>
      </c>
      <c r="AD43" s="21">
        <f t="shared" si="7"/>
        <v>4</v>
      </c>
      <c r="AE43" s="22">
        <f t="shared" si="28"/>
        <v>36</v>
      </c>
      <c r="AF43" s="23">
        <f t="shared" si="8"/>
        <v>278</v>
      </c>
      <c r="AG43" s="24">
        <v>30</v>
      </c>
      <c r="AH43" s="20">
        <v>29</v>
      </c>
      <c r="AI43" s="21">
        <f t="shared" si="9"/>
        <v>1</v>
      </c>
      <c r="AJ43" s="22">
        <f t="shared" si="31"/>
        <v>22</v>
      </c>
      <c r="AK43" s="23">
        <f t="shared" si="10"/>
        <v>249</v>
      </c>
      <c r="AL43" s="24">
        <v>29</v>
      </c>
      <c r="AM43" s="20">
        <v>26</v>
      </c>
      <c r="AN43" s="21">
        <f t="shared" si="11"/>
        <v>3</v>
      </c>
      <c r="AO43" s="22">
        <f t="shared" si="34"/>
        <v>31</v>
      </c>
      <c r="AP43" s="25">
        <f t="shared" si="12"/>
        <v>205</v>
      </c>
      <c r="AQ43" s="32">
        <v>5</v>
      </c>
      <c r="AR43" s="20">
        <v>0</v>
      </c>
      <c r="AS43" s="21">
        <f t="shared" si="13"/>
        <v>5</v>
      </c>
      <c r="AT43" s="22">
        <f t="shared" si="23"/>
        <v>4</v>
      </c>
      <c r="AU43" s="23">
        <v>345</v>
      </c>
      <c r="AV43" s="24">
        <v>8</v>
      </c>
      <c r="AW43" s="20">
        <v>7</v>
      </c>
      <c r="AX43" s="21">
        <f t="shared" si="14"/>
        <v>1</v>
      </c>
      <c r="AY43" s="22">
        <f t="shared" si="29"/>
        <v>0</v>
      </c>
      <c r="AZ43" s="23">
        <f t="shared" si="15"/>
        <v>327</v>
      </c>
      <c r="BA43" s="24">
        <v>26</v>
      </c>
      <c r="BB43" s="20">
        <v>22</v>
      </c>
      <c r="BC43" s="21">
        <f t="shared" si="16"/>
        <v>4</v>
      </c>
      <c r="BD43" s="22">
        <f t="shared" si="32"/>
        <v>32</v>
      </c>
      <c r="BE43" s="23">
        <f t="shared" si="17"/>
        <v>293</v>
      </c>
      <c r="BF43" s="24">
        <v>42</v>
      </c>
      <c r="BG43" s="20">
        <v>41</v>
      </c>
      <c r="BH43" s="21">
        <f t="shared" si="18"/>
        <v>1</v>
      </c>
      <c r="BI43" s="22">
        <f t="shared" si="35"/>
        <v>35</v>
      </c>
      <c r="BJ43" s="25">
        <f t="shared" si="19"/>
        <v>241</v>
      </c>
      <c r="BK43" s="4">
        <f t="shared" si="24"/>
        <v>165</v>
      </c>
      <c r="BL43" s="6">
        <f t="shared" si="25"/>
        <v>202</v>
      </c>
      <c r="BM43" s="8">
        <f t="shared" si="26"/>
        <v>308</v>
      </c>
    </row>
    <row r="44" spans="1:65">
      <c r="A44">
        <v>43</v>
      </c>
      <c r="B44" s="2">
        <v>45592</v>
      </c>
      <c r="C44" s="32">
        <v>8</v>
      </c>
      <c r="D44" s="20">
        <v>4</v>
      </c>
      <c r="E44" s="21">
        <f t="shared" si="0"/>
        <v>4</v>
      </c>
      <c r="F44" s="22">
        <f t="shared" si="20"/>
        <v>14</v>
      </c>
      <c r="G44" s="23">
        <v>200</v>
      </c>
      <c r="H44" s="24">
        <v>36</v>
      </c>
      <c r="I44" s="20">
        <v>25</v>
      </c>
      <c r="J44" s="21">
        <f t="shared" si="1"/>
        <v>11</v>
      </c>
      <c r="K44" s="22">
        <f t="shared" si="27"/>
        <v>24</v>
      </c>
      <c r="L44" s="23">
        <f t="shared" si="21"/>
        <v>190</v>
      </c>
      <c r="M44" s="24">
        <v>27</v>
      </c>
      <c r="N44" s="20">
        <v>18</v>
      </c>
      <c r="O44" s="21">
        <f t="shared" si="2"/>
        <v>9</v>
      </c>
      <c r="P44" s="22">
        <f t="shared" si="30"/>
        <v>32</v>
      </c>
      <c r="Q44" s="23">
        <f t="shared" si="3"/>
        <v>170</v>
      </c>
      <c r="R44" s="24">
        <v>35</v>
      </c>
      <c r="S44" s="20">
        <v>30</v>
      </c>
      <c r="T44" s="21">
        <f t="shared" si="4"/>
        <v>5</v>
      </c>
      <c r="U44" s="22">
        <f t="shared" si="33"/>
        <v>5</v>
      </c>
      <c r="V44" s="25">
        <f t="shared" si="5"/>
        <v>140</v>
      </c>
      <c r="W44" s="32">
        <v>10</v>
      </c>
      <c r="X44" s="20">
        <v>0</v>
      </c>
      <c r="Y44" s="21">
        <f t="shared" si="6"/>
        <v>10</v>
      </c>
      <c r="Z44" s="22">
        <f t="shared" si="22"/>
        <v>38</v>
      </c>
      <c r="AA44" s="23">
        <v>274</v>
      </c>
      <c r="AB44" s="24">
        <v>10</v>
      </c>
      <c r="AC44" s="20">
        <v>7</v>
      </c>
      <c r="AD44" s="21">
        <f t="shared" si="7"/>
        <v>3</v>
      </c>
      <c r="AE44" s="22">
        <f t="shared" si="28"/>
        <v>11</v>
      </c>
      <c r="AF44" s="23">
        <f t="shared" si="8"/>
        <v>260</v>
      </c>
      <c r="AG44" s="24">
        <v>45</v>
      </c>
      <c r="AH44" s="20">
        <v>43</v>
      </c>
      <c r="AI44" s="21">
        <f t="shared" si="9"/>
        <v>2</v>
      </c>
      <c r="AJ44" s="22">
        <f t="shared" si="31"/>
        <v>0</v>
      </c>
      <c r="AK44" s="23">
        <f t="shared" si="10"/>
        <v>232</v>
      </c>
      <c r="AL44" s="24">
        <v>42</v>
      </c>
      <c r="AM44" s="20">
        <v>35</v>
      </c>
      <c r="AN44" s="21">
        <f t="shared" si="11"/>
        <v>7</v>
      </c>
      <c r="AO44" s="22">
        <f t="shared" si="34"/>
        <v>49</v>
      </c>
      <c r="AP44" s="25">
        <f t="shared" si="12"/>
        <v>191</v>
      </c>
      <c r="AQ44" s="32">
        <v>34</v>
      </c>
      <c r="AR44" s="20">
        <v>31</v>
      </c>
      <c r="AS44" s="21">
        <f t="shared" si="13"/>
        <v>3</v>
      </c>
      <c r="AT44" s="22">
        <f t="shared" si="23"/>
        <v>0</v>
      </c>
      <c r="AU44" s="23">
        <v>186</v>
      </c>
      <c r="AV44" s="24">
        <v>31</v>
      </c>
      <c r="AW44" s="20">
        <v>22</v>
      </c>
      <c r="AX44" s="21">
        <f t="shared" si="14"/>
        <v>9</v>
      </c>
      <c r="AY44" s="22">
        <f t="shared" si="29"/>
        <v>12</v>
      </c>
      <c r="AZ44" s="23">
        <f t="shared" si="15"/>
        <v>176</v>
      </c>
      <c r="BA44" s="24">
        <v>30</v>
      </c>
      <c r="BB44" s="20">
        <v>30</v>
      </c>
      <c r="BC44" s="21">
        <f t="shared" si="16"/>
        <v>0</v>
      </c>
      <c r="BD44" s="22">
        <f t="shared" si="32"/>
        <v>22</v>
      </c>
      <c r="BE44" s="23">
        <f t="shared" si="17"/>
        <v>158</v>
      </c>
      <c r="BF44" s="24">
        <v>9</v>
      </c>
      <c r="BG44" s="20">
        <v>0</v>
      </c>
      <c r="BH44" s="21">
        <f t="shared" si="18"/>
        <v>9</v>
      </c>
      <c r="BI44" s="22">
        <f t="shared" si="35"/>
        <v>44</v>
      </c>
      <c r="BJ44" s="25">
        <f t="shared" si="19"/>
        <v>130</v>
      </c>
      <c r="BK44" s="4">
        <f t="shared" si="24"/>
        <v>169</v>
      </c>
      <c r="BL44" s="6">
        <f t="shared" si="25"/>
        <v>174</v>
      </c>
      <c r="BM44" s="8">
        <f t="shared" si="26"/>
        <v>316</v>
      </c>
    </row>
    <row r="45" spans="1:65">
      <c r="A45">
        <v>44</v>
      </c>
      <c r="B45" s="2">
        <v>45599</v>
      </c>
      <c r="C45" s="32">
        <v>29</v>
      </c>
      <c r="D45" s="20">
        <v>28</v>
      </c>
      <c r="E45" s="21">
        <f t="shared" si="0"/>
        <v>1</v>
      </c>
      <c r="F45" s="22">
        <f t="shared" si="20"/>
        <v>4</v>
      </c>
      <c r="G45" s="23">
        <v>208</v>
      </c>
      <c r="H45" s="24">
        <v>11</v>
      </c>
      <c r="I45" s="20">
        <v>7</v>
      </c>
      <c r="J45" s="21">
        <f t="shared" si="1"/>
        <v>4</v>
      </c>
      <c r="K45" s="22">
        <f t="shared" si="27"/>
        <v>6</v>
      </c>
      <c r="L45" s="23">
        <f t="shared" si="21"/>
        <v>197</v>
      </c>
      <c r="M45" s="24">
        <v>13</v>
      </c>
      <c r="N45" s="20">
        <v>12</v>
      </c>
      <c r="O45" s="21">
        <f t="shared" si="2"/>
        <v>1</v>
      </c>
      <c r="P45" s="22">
        <f t="shared" si="30"/>
        <v>22</v>
      </c>
      <c r="Q45" s="23">
        <f t="shared" si="3"/>
        <v>176</v>
      </c>
      <c r="R45" s="24">
        <v>23</v>
      </c>
      <c r="S45" s="20">
        <v>19</v>
      </c>
      <c r="T45" s="21">
        <f t="shared" si="4"/>
        <v>4</v>
      </c>
      <c r="U45" s="22">
        <f t="shared" si="33"/>
        <v>32</v>
      </c>
      <c r="V45" s="25">
        <f t="shared" si="5"/>
        <v>145</v>
      </c>
      <c r="W45" s="32">
        <v>6</v>
      </c>
      <c r="X45" s="20">
        <v>0</v>
      </c>
      <c r="Y45" s="21">
        <f t="shared" si="6"/>
        <v>6</v>
      </c>
      <c r="Z45" s="22">
        <f t="shared" si="22"/>
        <v>0</v>
      </c>
      <c r="AA45" s="23">
        <v>389</v>
      </c>
      <c r="AB45" s="24">
        <v>14</v>
      </c>
      <c r="AC45" s="20">
        <v>10</v>
      </c>
      <c r="AD45" s="21">
        <f t="shared" si="7"/>
        <v>4</v>
      </c>
      <c r="AE45" s="22">
        <f t="shared" si="28"/>
        <v>43</v>
      </c>
      <c r="AF45" s="23">
        <f t="shared" si="8"/>
        <v>369</v>
      </c>
      <c r="AG45" s="24">
        <v>39</v>
      </c>
      <c r="AH45" s="20">
        <v>38</v>
      </c>
      <c r="AI45" s="21">
        <f t="shared" si="9"/>
        <v>1</v>
      </c>
      <c r="AJ45" s="22">
        <f t="shared" si="31"/>
        <v>44</v>
      </c>
      <c r="AK45" s="23">
        <f t="shared" si="10"/>
        <v>330</v>
      </c>
      <c r="AL45" s="24">
        <v>16</v>
      </c>
      <c r="AM45" s="20">
        <v>15</v>
      </c>
      <c r="AN45" s="21">
        <f t="shared" si="11"/>
        <v>1</v>
      </c>
      <c r="AO45" s="22">
        <f t="shared" si="34"/>
        <v>33</v>
      </c>
      <c r="AP45" s="25">
        <f t="shared" si="12"/>
        <v>272</v>
      </c>
      <c r="AQ45" s="32">
        <v>7</v>
      </c>
      <c r="AR45" s="20">
        <v>5</v>
      </c>
      <c r="AS45" s="21">
        <f t="shared" si="13"/>
        <v>2</v>
      </c>
      <c r="AT45" s="22">
        <f t="shared" si="23"/>
        <v>31</v>
      </c>
      <c r="AU45" s="23">
        <v>312</v>
      </c>
      <c r="AV45" s="24">
        <v>21</v>
      </c>
      <c r="AW45" s="20">
        <v>20</v>
      </c>
      <c r="AX45" s="21">
        <f t="shared" si="14"/>
        <v>1</v>
      </c>
      <c r="AY45" s="22">
        <f t="shared" si="29"/>
        <v>29</v>
      </c>
      <c r="AZ45" s="23">
        <f t="shared" si="15"/>
        <v>296</v>
      </c>
      <c r="BA45" s="24">
        <v>7</v>
      </c>
      <c r="BB45" s="20">
        <v>0</v>
      </c>
      <c r="BC45" s="21">
        <f t="shared" si="16"/>
        <v>7</v>
      </c>
      <c r="BD45" s="22">
        <f t="shared" si="32"/>
        <v>10</v>
      </c>
      <c r="BE45" s="23">
        <f t="shared" si="17"/>
        <v>265</v>
      </c>
      <c r="BF45" s="24">
        <v>26</v>
      </c>
      <c r="BG45" s="20">
        <v>24</v>
      </c>
      <c r="BH45" s="21">
        <f t="shared" si="18"/>
        <v>2</v>
      </c>
      <c r="BI45" s="22">
        <f t="shared" si="35"/>
        <v>26</v>
      </c>
      <c r="BJ45" s="25">
        <f t="shared" si="19"/>
        <v>218</v>
      </c>
      <c r="BK45" s="4">
        <f t="shared" si="24"/>
        <v>156</v>
      </c>
      <c r="BL45" s="6">
        <f t="shared" si="25"/>
        <v>209</v>
      </c>
      <c r="BM45" s="8">
        <f t="shared" si="26"/>
        <v>329</v>
      </c>
    </row>
    <row r="46" spans="1:65">
      <c r="A46">
        <v>45</v>
      </c>
      <c r="B46" s="2">
        <v>45606</v>
      </c>
      <c r="C46" s="32">
        <v>18</v>
      </c>
      <c r="D46" s="20">
        <v>11</v>
      </c>
      <c r="E46" s="21">
        <f t="shared" si="0"/>
        <v>7</v>
      </c>
      <c r="F46" s="22">
        <f t="shared" si="20"/>
        <v>28</v>
      </c>
      <c r="G46" s="23">
        <v>267</v>
      </c>
      <c r="H46" s="24">
        <v>45</v>
      </c>
      <c r="I46" s="20">
        <v>33</v>
      </c>
      <c r="J46" s="21">
        <f t="shared" si="1"/>
        <v>12</v>
      </c>
      <c r="K46" s="22">
        <f t="shared" si="27"/>
        <v>19</v>
      </c>
      <c r="L46" s="23">
        <f t="shared" si="21"/>
        <v>253</v>
      </c>
      <c r="M46" s="24">
        <v>16</v>
      </c>
      <c r="N46" s="20">
        <v>15</v>
      </c>
      <c r="O46" s="21">
        <f t="shared" si="2"/>
        <v>1</v>
      </c>
      <c r="P46" s="22">
        <f t="shared" si="30"/>
        <v>16</v>
      </c>
      <c r="Q46" s="23">
        <f t="shared" si="3"/>
        <v>226</v>
      </c>
      <c r="R46" s="24">
        <v>48</v>
      </c>
      <c r="S46" s="20">
        <v>43</v>
      </c>
      <c r="T46" s="21">
        <f t="shared" si="4"/>
        <v>5</v>
      </c>
      <c r="U46" s="22">
        <f t="shared" si="33"/>
        <v>40</v>
      </c>
      <c r="V46" s="25">
        <f t="shared" si="5"/>
        <v>186</v>
      </c>
      <c r="W46" s="32">
        <v>17</v>
      </c>
      <c r="X46" s="20">
        <v>0</v>
      </c>
      <c r="Y46" s="21">
        <f t="shared" si="6"/>
        <v>17</v>
      </c>
      <c r="Z46" s="22">
        <f t="shared" si="22"/>
        <v>0</v>
      </c>
      <c r="AA46" s="23">
        <v>261</v>
      </c>
      <c r="AB46" s="24">
        <v>9</v>
      </c>
      <c r="AC46" s="20">
        <v>0</v>
      </c>
      <c r="AD46" s="21">
        <f t="shared" si="7"/>
        <v>9</v>
      </c>
      <c r="AE46" s="22">
        <f t="shared" si="28"/>
        <v>0</v>
      </c>
      <c r="AF46" s="23">
        <f t="shared" si="8"/>
        <v>247</v>
      </c>
      <c r="AG46" s="24">
        <v>29</v>
      </c>
      <c r="AH46" s="20">
        <v>22</v>
      </c>
      <c r="AI46" s="21">
        <f t="shared" si="9"/>
        <v>7</v>
      </c>
      <c r="AJ46" s="22">
        <f t="shared" si="31"/>
        <v>13</v>
      </c>
      <c r="AK46" s="23">
        <f t="shared" si="10"/>
        <v>221</v>
      </c>
      <c r="AL46" s="24">
        <v>27</v>
      </c>
      <c r="AM46" s="20">
        <v>21</v>
      </c>
      <c r="AN46" s="21">
        <f t="shared" si="11"/>
        <v>6</v>
      </c>
      <c r="AO46" s="22">
        <f t="shared" si="34"/>
        <v>27</v>
      </c>
      <c r="AP46" s="25">
        <f t="shared" si="12"/>
        <v>182</v>
      </c>
      <c r="AQ46" s="32">
        <v>49</v>
      </c>
      <c r="AR46" s="20">
        <v>49</v>
      </c>
      <c r="AS46" s="21">
        <f t="shared" si="13"/>
        <v>0</v>
      </c>
      <c r="AT46" s="22">
        <f t="shared" si="23"/>
        <v>5</v>
      </c>
      <c r="AU46" s="23">
        <v>224</v>
      </c>
      <c r="AV46" s="24">
        <v>16</v>
      </c>
      <c r="AW46" s="20">
        <v>9</v>
      </c>
      <c r="AX46" s="21">
        <f t="shared" si="14"/>
        <v>7</v>
      </c>
      <c r="AY46" s="22">
        <f t="shared" si="29"/>
        <v>40</v>
      </c>
      <c r="AZ46" s="23">
        <f t="shared" si="15"/>
        <v>212</v>
      </c>
      <c r="BA46" s="24">
        <v>45</v>
      </c>
      <c r="BB46" s="20">
        <v>44</v>
      </c>
      <c r="BC46" s="21">
        <f t="shared" si="16"/>
        <v>1</v>
      </c>
      <c r="BD46" s="22">
        <f t="shared" si="32"/>
        <v>10</v>
      </c>
      <c r="BE46" s="23">
        <f t="shared" si="17"/>
        <v>190</v>
      </c>
      <c r="BF46" s="24">
        <v>38</v>
      </c>
      <c r="BG46" s="20">
        <v>35</v>
      </c>
      <c r="BH46" s="21">
        <f t="shared" si="18"/>
        <v>3</v>
      </c>
      <c r="BI46" s="22">
        <f t="shared" si="35"/>
        <v>48</v>
      </c>
      <c r="BJ46" s="25">
        <f t="shared" si="19"/>
        <v>156</v>
      </c>
      <c r="BK46" s="4">
        <f t="shared" si="24"/>
        <v>193</v>
      </c>
      <c r="BL46" s="6">
        <f t="shared" si="25"/>
        <v>186</v>
      </c>
      <c r="BM46" s="8">
        <f t="shared" si="26"/>
        <v>383</v>
      </c>
    </row>
    <row r="47" spans="1:65">
      <c r="A47">
        <v>46</v>
      </c>
      <c r="B47" s="2">
        <v>45613</v>
      </c>
      <c r="C47" s="32">
        <v>13</v>
      </c>
      <c r="D47" s="20">
        <v>11</v>
      </c>
      <c r="E47" s="21">
        <f t="shared" si="0"/>
        <v>2</v>
      </c>
      <c r="F47" s="22">
        <f t="shared" si="20"/>
        <v>11</v>
      </c>
      <c r="G47" s="23">
        <v>245</v>
      </c>
      <c r="H47" s="24">
        <v>37</v>
      </c>
      <c r="I47" s="20">
        <v>23</v>
      </c>
      <c r="J47" s="21">
        <f t="shared" si="1"/>
        <v>14</v>
      </c>
      <c r="K47" s="22">
        <f t="shared" si="27"/>
        <v>18</v>
      </c>
      <c r="L47" s="23">
        <f t="shared" si="21"/>
        <v>232</v>
      </c>
      <c r="M47" s="24">
        <v>5</v>
      </c>
      <c r="N47" s="20">
        <v>0</v>
      </c>
      <c r="O47" s="21">
        <f t="shared" si="2"/>
        <v>5</v>
      </c>
      <c r="P47" s="22">
        <f t="shared" si="30"/>
        <v>22</v>
      </c>
      <c r="Q47" s="23">
        <f t="shared" si="3"/>
        <v>208</v>
      </c>
      <c r="R47" s="24">
        <v>43</v>
      </c>
      <c r="S47" s="20">
        <v>40</v>
      </c>
      <c r="T47" s="21">
        <f t="shared" si="4"/>
        <v>3</v>
      </c>
      <c r="U47" s="22">
        <f t="shared" si="33"/>
        <v>40</v>
      </c>
      <c r="V47" s="25">
        <f t="shared" si="5"/>
        <v>171</v>
      </c>
      <c r="W47" s="32">
        <v>47</v>
      </c>
      <c r="X47" s="20">
        <v>41</v>
      </c>
      <c r="Y47" s="21">
        <f t="shared" si="6"/>
        <v>6</v>
      </c>
      <c r="Z47" s="22">
        <f t="shared" si="22"/>
        <v>0</v>
      </c>
      <c r="AA47" s="23">
        <v>293</v>
      </c>
      <c r="AB47" s="24">
        <v>27</v>
      </c>
      <c r="AC47" s="20">
        <v>23</v>
      </c>
      <c r="AD47" s="21">
        <f t="shared" si="7"/>
        <v>4</v>
      </c>
      <c r="AE47" s="22">
        <f t="shared" si="28"/>
        <v>33</v>
      </c>
      <c r="AF47" s="23">
        <f t="shared" si="8"/>
        <v>278</v>
      </c>
      <c r="AG47" s="24">
        <v>30</v>
      </c>
      <c r="AH47" s="20">
        <v>30</v>
      </c>
      <c r="AI47" s="21">
        <f t="shared" si="9"/>
        <v>0</v>
      </c>
      <c r="AJ47" s="22">
        <f t="shared" si="31"/>
        <v>25</v>
      </c>
      <c r="AK47" s="23">
        <f t="shared" si="10"/>
        <v>249</v>
      </c>
      <c r="AL47" s="24">
        <v>46</v>
      </c>
      <c r="AM47" s="20">
        <v>44</v>
      </c>
      <c r="AN47" s="21">
        <f t="shared" si="11"/>
        <v>2</v>
      </c>
      <c r="AO47" s="22">
        <f t="shared" si="34"/>
        <v>40</v>
      </c>
      <c r="AP47" s="25">
        <f t="shared" si="12"/>
        <v>205</v>
      </c>
      <c r="AQ47" s="32">
        <v>18</v>
      </c>
      <c r="AR47" s="20">
        <v>11</v>
      </c>
      <c r="AS47" s="21">
        <f t="shared" si="13"/>
        <v>7</v>
      </c>
      <c r="AT47" s="22">
        <f t="shared" si="23"/>
        <v>49</v>
      </c>
      <c r="AU47" s="23">
        <v>237</v>
      </c>
      <c r="AV47" s="24">
        <v>26</v>
      </c>
      <c r="AW47" s="20">
        <v>24</v>
      </c>
      <c r="AX47" s="21">
        <f t="shared" si="14"/>
        <v>2</v>
      </c>
      <c r="AY47" s="22">
        <f t="shared" si="29"/>
        <v>7</v>
      </c>
      <c r="AZ47" s="23">
        <f t="shared" si="15"/>
        <v>225</v>
      </c>
      <c r="BA47" s="24">
        <v>46</v>
      </c>
      <c r="BB47" s="20">
        <v>44</v>
      </c>
      <c r="BC47" s="21">
        <f t="shared" si="16"/>
        <v>2</v>
      </c>
      <c r="BD47" s="22">
        <f t="shared" si="32"/>
        <v>22</v>
      </c>
      <c r="BE47" s="23">
        <f t="shared" si="17"/>
        <v>201</v>
      </c>
      <c r="BF47" s="24">
        <v>5</v>
      </c>
      <c r="BG47" s="20">
        <v>0</v>
      </c>
      <c r="BH47" s="21">
        <f t="shared" si="18"/>
        <v>5</v>
      </c>
      <c r="BI47" s="22">
        <f t="shared" si="35"/>
        <v>40</v>
      </c>
      <c r="BJ47" s="25">
        <f t="shared" si="19"/>
        <v>165</v>
      </c>
      <c r="BK47" s="4">
        <f t="shared" si="24"/>
        <v>182</v>
      </c>
      <c r="BL47" s="6">
        <f t="shared" si="25"/>
        <v>241</v>
      </c>
      <c r="BM47" s="8">
        <f t="shared" si="26"/>
        <v>364</v>
      </c>
    </row>
    <row r="48" spans="1:65">
      <c r="A48">
        <v>47</v>
      </c>
      <c r="B48" s="2">
        <v>45620</v>
      </c>
      <c r="C48" s="32">
        <v>30</v>
      </c>
      <c r="D48" s="20">
        <v>29</v>
      </c>
      <c r="E48" s="21">
        <f t="shared" si="0"/>
        <v>1</v>
      </c>
      <c r="F48" s="22">
        <f t="shared" si="20"/>
        <v>11</v>
      </c>
      <c r="G48" s="23">
        <v>262</v>
      </c>
      <c r="H48" s="24">
        <v>44</v>
      </c>
      <c r="I48" s="20">
        <v>43</v>
      </c>
      <c r="J48" s="21">
        <f t="shared" si="1"/>
        <v>1</v>
      </c>
      <c r="K48" s="22">
        <f t="shared" si="27"/>
        <v>25</v>
      </c>
      <c r="L48" s="23">
        <f t="shared" si="21"/>
        <v>248</v>
      </c>
      <c r="M48" s="24">
        <v>5</v>
      </c>
      <c r="N48" s="20">
        <v>0</v>
      </c>
      <c r="O48" s="21">
        <f t="shared" si="2"/>
        <v>5</v>
      </c>
      <c r="P48" s="22">
        <f t="shared" si="30"/>
        <v>26</v>
      </c>
      <c r="Q48" s="23">
        <f t="shared" si="3"/>
        <v>222</v>
      </c>
      <c r="R48" s="24">
        <v>31</v>
      </c>
      <c r="S48" s="20">
        <v>26</v>
      </c>
      <c r="T48" s="21">
        <f t="shared" si="4"/>
        <v>5</v>
      </c>
      <c r="U48" s="22">
        <f t="shared" si="33"/>
        <v>19</v>
      </c>
      <c r="V48" s="25">
        <f t="shared" si="5"/>
        <v>183</v>
      </c>
      <c r="W48" s="32">
        <v>47</v>
      </c>
      <c r="X48" s="20">
        <v>47</v>
      </c>
      <c r="Y48" s="21">
        <f t="shared" si="6"/>
        <v>0</v>
      </c>
      <c r="Z48" s="22">
        <f t="shared" si="22"/>
        <v>41</v>
      </c>
      <c r="AA48" s="23">
        <v>294</v>
      </c>
      <c r="AB48" s="24">
        <v>14</v>
      </c>
      <c r="AC48" s="20">
        <v>11</v>
      </c>
      <c r="AD48" s="21">
        <f t="shared" si="7"/>
        <v>3</v>
      </c>
      <c r="AE48" s="22">
        <f t="shared" si="28"/>
        <v>7</v>
      </c>
      <c r="AF48" s="23">
        <f t="shared" si="8"/>
        <v>279</v>
      </c>
      <c r="AG48" s="24">
        <v>15</v>
      </c>
      <c r="AH48" s="20">
        <v>12</v>
      </c>
      <c r="AI48" s="21">
        <f t="shared" si="9"/>
        <v>3</v>
      </c>
      <c r="AJ48" s="22">
        <f t="shared" si="31"/>
        <v>0</v>
      </c>
      <c r="AK48" s="23">
        <f t="shared" si="10"/>
        <v>249</v>
      </c>
      <c r="AL48" s="24">
        <v>26</v>
      </c>
      <c r="AM48" s="20">
        <v>22</v>
      </c>
      <c r="AN48" s="21">
        <f t="shared" si="11"/>
        <v>4</v>
      </c>
      <c r="AO48" s="22">
        <f t="shared" si="34"/>
        <v>11</v>
      </c>
      <c r="AP48" s="25">
        <f t="shared" si="12"/>
        <v>205</v>
      </c>
      <c r="AQ48" s="32">
        <v>34</v>
      </c>
      <c r="AR48" s="20">
        <v>34</v>
      </c>
      <c r="AS48" s="21">
        <f t="shared" si="13"/>
        <v>0</v>
      </c>
      <c r="AT48" s="22">
        <f t="shared" si="23"/>
        <v>11</v>
      </c>
      <c r="AU48" s="23">
        <v>210</v>
      </c>
      <c r="AV48" s="24">
        <v>21</v>
      </c>
      <c r="AW48" s="20">
        <v>18</v>
      </c>
      <c r="AX48" s="21">
        <f t="shared" si="14"/>
        <v>3</v>
      </c>
      <c r="AY48" s="22">
        <f t="shared" si="29"/>
        <v>22</v>
      </c>
      <c r="AZ48" s="23">
        <f t="shared" si="15"/>
        <v>199</v>
      </c>
      <c r="BA48" s="24">
        <v>18</v>
      </c>
      <c r="BB48" s="20">
        <v>17</v>
      </c>
      <c r="BC48" s="21">
        <f t="shared" si="16"/>
        <v>1</v>
      </c>
      <c r="BD48" s="22">
        <f t="shared" si="32"/>
        <v>20</v>
      </c>
      <c r="BE48" s="23">
        <f t="shared" si="17"/>
        <v>178</v>
      </c>
      <c r="BF48" s="24">
        <v>30</v>
      </c>
      <c r="BG48" s="20">
        <v>30</v>
      </c>
      <c r="BH48" s="21">
        <f t="shared" si="18"/>
        <v>0</v>
      </c>
      <c r="BI48" s="22">
        <f t="shared" si="35"/>
        <v>22</v>
      </c>
      <c r="BJ48" s="25">
        <f t="shared" si="19"/>
        <v>147</v>
      </c>
      <c r="BK48" s="4">
        <f t="shared" si="24"/>
        <v>189</v>
      </c>
      <c r="BL48" s="6">
        <f t="shared" si="25"/>
        <v>162</v>
      </c>
      <c r="BM48" s="8">
        <f t="shared" si="26"/>
        <v>360</v>
      </c>
    </row>
    <row r="49" spans="1:65">
      <c r="A49">
        <v>48</v>
      </c>
      <c r="B49" s="2">
        <v>45627</v>
      </c>
      <c r="C49" s="32">
        <v>6</v>
      </c>
      <c r="D49" s="20">
        <v>5</v>
      </c>
      <c r="E49" s="21">
        <f t="shared" si="0"/>
        <v>1</v>
      </c>
      <c r="F49" s="22">
        <f t="shared" si="20"/>
        <v>29</v>
      </c>
      <c r="G49" s="23">
        <v>211</v>
      </c>
      <c r="H49" s="24">
        <v>43</v>
      </c>
      <c r="I49" s="20">
        <v>32</v>
      </c>
      <c r="J49" s="21">
        <f t="shared" si="1"/>
        <v>11</v>
      </c>
      <c r="K49" s="22">
        <f t="shared" si="27"/>
        <v>7</v>
      </c>
      <c r="L49" s="23">
        <f t="shared" si="21"/>
        <v>200</v>
      </c>
      <c r="M49" s="24">
        <v>38</v>
      </c>
      <c r="N49" s="20">
        <v>35</v>
      </c>
      <c r="O49" s="21">
        <f t="shared" si="2"/>
        <v>3</v>
      </c>
      <c r="P49" s="22">
        <f t="shared" si="30"/>
        <v>28</v>
      </c>
      <c r="Q49" s="23">
        <f t="shared" si="3"/>
        <v>179</v>
      </c>
      <c r="R49" s="24">
        <v>14</v>
      </c>
      <c r="S49" s="20">
        <v>10</v>
      </c>
      <c r="T49" s="21">
        <f t="shared" si="4"/>
        <v>4</v>
      </c>
      <c r="U49" s="22">
        <f t="shared" si="33"/>
        <v>11</v>
      </c>
      <c r="V49" s="25">
        <f t="shared" si="5"/>
        <v>147</v>
      </c>
      <c r="W49" s="32">
        <v>15</v>
      </c>
      <c r="X49" s="20">
        <v>0</v>
      </c>
      <c r="Y49" s="21">
        <f t="shared" si="6"/>
        <v>15</v>
      </c>
      <c r="Z49" s="22">
        <f t="shared" si="22"/>
        <v>47</v>
      </c>
      <c r="AA49" s="23">
        <v>351</v>
      </c>
      <c r="AB49" s="24">
        <v>48</v>
      </c>
      <c r="AC49" s="20">
        <v>44</v>
      </c>
      <c r="AD49" s="21">
        <f t="shared" si="7"/>
        <v>4</v>
      </c>
      <c r="AE49" s="22">
        <f t="shared" si="28"/>
        <v>10</v>
      </c>
      <c r="AF49" s="23">
        <f t="shared" si="8"/>
        <v>333</v>
      </c>
      <c r="AG49" s="24">
        <v>42</v>
      </c>
      <c r="AH49" s="20">
        <v>35</v>
      </c>
      <c r="AI49" s="21">
        <f t="shared" si="9"/>
        <v>7</v>
      </c>
      <c r="AJ49" s="22">
        <f t="shared" si="31"/>
        <v>0</v>
      </c>
      <c r="AK49" s="23">
        <f t="shared" si="10"/>
        <v>298</v>
      </c>
      <c r="AL49" s="24">
        <v>25</v>
      </c>
      <c r="AM49" s="20">
        <v>23</v>
      </c>
      <c r="AN49" s="21">
        <f t="shared" si="11"/>
        <v>2</v>
      </c>
      <c r="AO49" s="22">
        <f t="shared" si="34"/>
        <v>6</v>
      </c>
      <c r="AP49" s="25">
        <f t="shared" si="12"/>
        <v>245</v>
      </c>
      <c r="AQ49" s="32">
        <v>8</v>
      </c>
      <c r="AR49" s="20">
        <v>0</v>
      </c>
      <c r="AS49" s="21">
        <f t="shared" si="13"/>
        <v>8</v>
      </c>
      <c r="AT49" s="22">
        <f t="shared" si="23"/>
        <v>34</v>
      </c>
      <c r="AU49" s="23">
        <v>202</v>
      </c>
      <c r="AV49" s="24">
        <v>14</v>
      </c>
      <c r="AW49" s="20">
        <v>12</v>
      </c>
      <c r="AX49" s="21">
        <f t="shared" si="14"/>
        <v>2</v>
      </c>
      <c r="AY49" s="22">
        <f t="shared" si="29"/>
        <v>20</v>
      </c>
      <c r="AZ49" s="23">
        <f t="shared" si="15"/>
        <v>191</v>
      </c>
      <c r="BA49" s="24">
        <v>15</v>
      </c>
      <c r="BB49" s="20">
        <v>15</v>
      </c>
      <c r="BC49" s="21">
        <f t="shared" si="16"/>
        <v>0</v>
      </c>
      <c r="BD49" s="22">
        <f t="shared" si="32"/>
        <v>0</v>
      </c>
      <c r="BE49" s="23">
        <f t="shared" si="17"/>
        <v>171</v>
      </c>
      <c r="BF49" s="24">
        <v>47</v>
      </c>
      <c r="BG49" s="20">
        <v>44</v>
      </c>
      <c r="BH49" s="21">
        <f t="shared" si="18"/>
        <v>3</v>
      </c>
      <c r="BI49" s="22">
        <f t="shared" si="35"/>
        <v>22</v>
      </c>
      <c r="BJ49" s="25">
        <f t="shared" si="19"/>
        <v>141</v>
      </c>
      <c r="BK49" s="4">
        <f t="shared" si="24"/>
        <v>166</v>
      </c>
      <c r="BL49" s="6">
        <f t="shared" si="25"/>
        <v>133</v>
      </c>
      <c r="BM49" s="8">
        <f t="shared" si="26"/>
        <v>337</v>
      </c>
    </row>
    <row r="50" spans="1:65">
      <c r="A50">
        <v>49</v>
      </c>
      <c r="B50" s="2">
        <v>45634</v>
      </c>
      <c r="C50" s="32">
        <v>24</v>
      </c>
      <c r="D50" s="20">
        <v>22</v>
      </c>
      <c r="E50" s="21">
        <f t="shared" si="0"/>
        <v>2</v>
      </c>
      <c r="F50" s="22">
        <f t="shared" si="20"/>
        <v>5</v>
      </c>
      <c r="G50" s="23">
        <v>201</v>
      </c>
      <c r="H50" s="24">
        <v>22</v>
      </c>
      <c r="I50" s="20">
        <v>20</v>
      </c>
      <c r="J50" s="21">
        <f t="shared" si="1"/>
        <v>2</v>
      </c>
      <c r="K50" s="22">
        <f t="shared" si="27"/>
        <v>33</v>
      </c>
      <c r="L50" s="23">
        <f t="shared" si="21"/>
        <v>190</v>
      </c>
      <c r="M50" s="24">
        <v>36</v>
      </c>
      <c r="N50" s="20">
        <v>33</v>
      </c>
      <c r="O50" s="21">
        <f t="shared" si="2"/>
        <v>3</v>
      </c>
      <c r="P50" s="22">
        <f t="shared" si="30"/>
        <v>37</v>
      </c>
      <c r="Q50" s="23">
        <f t="shared" si="3"/>
        <v>170</v>
      </c>
      <c r="R50" s="24">
        <v>30</v>
      </c>
      <c r="S50" s="20">
        <v>26</v>
      </c>
      <c r="T50" s="21">
        <f t="shared" si="4"/>
        <v>4</v>
      </c>
      <c r="U50" s="22">
        <f t="shared" si="33"/>
        <v>47</v>
      </c>
      <c r="V50" s="25">
        <f t="shared" si="5"/>
        <v>140</v>
      </c>
      <c r="W50" s="32">
        <v>27</v>
      </c>
      <c r="X50" s="20">
        <v>20</v>
      </c>
      <c r="Y50" s="21">
        <f t="shared" si="6"/>
        <v>7</v>
      </c>
      <c r="Z50" s="22">
        <f t="shared" si="22"/>
        <v>0</v>
      </c>
      <c r="AA50" s="23">
        <v>254</v>
      </c>
      <c r="AB50" s="24">
        <v>6</v>
      </c>
      <c r="AC50" s="20">
        <v>0</v>
      </c>
      <c r="AD50" s="21">
        <f t="shared" si="7"/>
        <v>6</v>
      </c>
      <c r="AE50" s="22">
        <f t="shared" si="28"/>
        <v>0</v>
      </c>
      <c r="AF50" s="23">
        <f t="shared" si="8"/>
        <v>241</v>
      </c>
      <c r="AG50" s="24">
        <v>6</v>
      </c>
      <c r="AH50" s="20">
        <v>0</v>
      </c>
      <c r="AI50" s="21">
        <f t="shared" si="9"/>
        <v>6</v>
      </c>
      <c r="AJ50" s="22">
        <f t="shared" si="31"/>
        <v>13</v>
      </c>
      <c r="AK50" s="23">
        <f t="shared" si="10"/>
        <v>215</v>
      </c>
      <c r="AL50" s="24">
        <v>31</v>
      </c>
      <c r="AM50" s="20">
        <v>30</v>
      </c>
      <c r="AN50" s="21">
        <f t="shared" si="11"/>
        <v>1</v>
      </c>
      <c r="AO50" s="22">
        <f t="shared" si="34"/>
        <v>22</v>
      </c>
      <c r="AP50" s="25">
        <f t="shared" si="12"/>
        <v>177</v>
      </c>
      <c r="AQ50" s="32">
        <v>22</v>
      </c>
      <c r="AR50" s="20">
        <v>20</v>
      </c>
      <c r="AS50" s="21">
        <f t="shared" si="13"/>
        <v>2</v>
      </c>
      <c r="AT50" s="22">
        <f t="shared" si="23"/>
        <v>0</v>
      </c>
      <c r="AU50" s="23">
        <v>349</v>
      </c>
      <c r="AV50" s="24">
        <v>5</v>
      </c>
      <c r="AW50" s="20">
        <v>0</v>
      </c>
      <c r="AX50" s="21">
        <f t="shared" si="14"/>
        <v>5</v>
      </c>
      <c r="AY50" s="22">
        <f t="shared" si="29"/>
        <v>9</v>
      </c>
      <c r="AZ50" s="23">
        <f t="shared" si="15"/>
        <v>331</v>
      </c>
      <c r="BA50" s="24">
        <v>22</v>
      </c>
      <c r="BB50" s="20">
        <v>22</v>
      </c>
      <c r="BC50" s="21">
        <f t="shared" si="16"/>
        <v>0</v>
      </c>
      <c r="BD50" s="22">
        <f t="shared" si="32"/>
        <v>6</v>
      </c>
      <c r="BE50" s="23">
        <f t="shared" si="17"/>
        <v>296</v>
      </c>
      <c r="BF50" s="24">
        <v>14</v>
      </c>
      <c r="BG50" s="20">
        <v>13</v>
      </c>
      <c r="BH50" s="21">
        <f t="shared" si="18"/>
        <v>1</v>
      </c>
      <c r="BI50" s="22">
        <f t="shared" si="35"/>
        <v>49</v>
      </c>
      <c r="BJ50" s="25">
        <f t="shared" si="19"/>
        <v>244</v>
      </c>
      <c r="BK50" s="4">
        <f t="shared" si="24"/>
        <v>206</v>
      </c>
      <c r="BL50" s="6">
        <f t="shared" si="25"/>
        <v>66</v>
      </c>
      <c r="BM50" s="8">
        <f t="shared" si="26"/>
        <v>330</v>
      </c>
    </row>
    <row r="51" spans="1:65">
      <c r="A51">
        <v>50</v>
      </c>
      <c r="B51" s="2">
        <v>45641</v>
      </c>
      <c r="C51" s="32">
        <v>32</v>
      </c>
      <c r="D51" s="20">
        <v>30</v>
      </c>
      <c r="E51" s="21">
        <f t="shared" si="0"/>
        <v>2</v>
      </c>
      <c r="F51" s="22">
        <f t="shared" si="20"/>
        <v>22</v>
      </c>
      <c r="G51" s="23">
        <v>161</v>
      </c>
      <c r="H51" s="24">
        <v>44</v>
      </c>
      <c r="I51" s="20">
        <v>40</v>
      </c>
      <c r="J51" s="21">
        <f t="shared" si="1"/>
        <v>4</v>
      </c>
      <c r="K51" s="22">
        <f t="shared" si="27"/>
        <v>23</v>
      </c>
      <c r="L51" s="23">
        <f t="shared" si="21"/>
        <v>152</v>
      </c>
      <c r="M51" s="24">
        <v>29</v>
      </c>
      <c r="N51" s="20">
        <v>26</v>
      </c>
      <c r="O51" s="21">
        <f t="shared" si="2"/>
        <v>3</v>
      </c>
      <c r="P51" s="22">
        <f t="shared" si="30"/>
        <v>29</v>
      </c>
      <c r="Q51" s="23">
        <f t="shared" si="3"/>
        <v>136</v>
      </c>
      <c r="R51" s="24">
        <v>23</v>
      </c>
      <c r="S51" s="20">
        <v>20</v>
      </c>
      <c r="T51" s="21">
        <f t="shared" si="4"/>
        <v>3</v>
      </c>
      <c r="U51" s="22">
        <f t="shared" si="33"/>
        <v>2</v>
      </c>
      <c r="V51" s="25">
        <f t="shared" si="5"/>
        <v>112</v>
      </c>
      <c r="W51" s="32">
        <v>20</v>
      </c>
      <c r="X51" s="20">
        <v>18</v>
      </c>
      <c r="Y51" s="21">
        <f t="shared" si="6"/>
        <v>2</v>
      </c>
      <c r="Z51" s="22">
        <f t="shared" si="22"/>
        <v>20</v>
      </c>
      <c r="AA51" s="23">
        <v>336</v>
      </c>
      <c r="AB51" s="24">
        <v>17</v>
      </c>
      <c r="AC51" s="20">
        <v>12</v>
      </c>
      <c r="AD51" s="21">
        <f t="shared" si="7"/>
        <v>5</v>
      </c>
      <c r="AE51" s="22">
        <f t="shared" si="28"/>
        <v>23</v>
      </c>
      <c r="AF51" s="23">
        <f t="shared" si="8"/>
        <v>319</v>
      </c>
      <c r="AG51" s="24">
        <v>11</v>
      </c>
      <c r="AH51" s="20">
        <v>11</v>
      </c>
      <c r="AI51" s="21">
        <f t="shared" si="9"/>
        <v>0</v>
      </c>
      <c r="AJ51" s="22">
        <f t="shared" si="31"/>
        <v>29</v>
      </c>
      <c r="AK51" s="23">
        <f t="shared" si="10"/>
        <v>285</v>
      </c>
      <c r="AL51" s="24">
        <v>35</v>
      </c>
      <c r="AM51" s="20">
        <v>34</v>
      </c>
      <c r="AN51" s="21">
        <f t="shared" si="11"/>
        <v>1</v>
      </c>
      <c r="AO51" s="22">
        <f t="shared" si="34"/>
        <v>25</v>
      </c>
      <c r="AP51" s="25">
        <f t="shared" si="12"/>
        <v>235</v>
      </c>
      <c r="AQ51" s="32">
        <v>41</v>
      </c>
      <c r="AR51" s="20">
        <v>39</v>
      </c>
      <c r="AS51" s="21">
        <f t="shared" si="13"/>
        <v>2</v>
      </c>
      <c r="AT51" s="22">
        <f t="shared" si="23"/>
        <v>20</v>
      </c>
      <c r="AU51" s="23">
        <v>317</v>
      </c>
      <c r="AV51" s="24">
        <v>26</v>
      </c>
      <c r="AW51" s="20">
        <v>22</v>
      </c>
      <c r="AX51" s="21">
        <f t="shared" si="14"/>
        <v>4</v>
      </c>
      <c r="AY51" s="22">
        <f t="shared" si="29"/>
        <v>24</v>
      </c>
      <c r="AZ51" s="23">
        <f t="shared" si="15"/>
        <v>301</v>
      </c>
      <c r="BA51" s="24">
        <v>16</v>
      </c>
      <c r="BB51" s="20">
        <v>15</v>
      </c>
      <c r="BC51" s="21">
        <f t="shared" si="16"/>
        <v>1</v>
      </c>
      <c r="BD51" s="22">
        <f t="shared" si="32"/>
        <v>22</v>
      </c>
      <c r="BE51" s="23">
        <f t="shared" si="17"/>
        <v>269</v>
      </c>
      <c r="BF51" s="24">
        <v>34</v>
      </c>
      <c r="BG51" s="20">
        <v>31</v>
      </c>
      <c r="BH51" s="21">
        <f t="shared" si="18"/>
        <v>3</v>
      </c>
      <c r="BI51" s="22">
        <f t="shared" si="35"/>
        <v>16</v>
      </c>
      <c r="BJ51" s="25">
        <f t="shared" si="19"/>
        <v>221</v>
      </c>
      <c r="BK51" s="4">
        <f t="shared" si="24"/>
        <v>181</v>
      </c>
      <c r="BL51" s="6">
        <f t="shared" si="25"/>
        <v>113</v>
      </c>
      <c r="BM51" s="8">
        <f t="shared" si="26"/>
        <v>357</v>
      </c>
    </row>
    <row r="52" spans="1:65">
      <c r="A52">
        <v>51</v>
      </c>
      <c r="B52" s="2">
        <v>45648</v>
      </c>
      <c r="C52" s="32">
        <v>11</v>
      </c>
      <c r="D52" s="20">
        <v>9</v>
      </c>
      <c r="E52" s="21">
        <f t="shared" si="0"/>
        <v>2</v>
      </c>
      <c r="F52" s="22">
        <f t="shared" si="20"/>
        <v>30</v>
      </c>
      <c r="G52" s="23">
        <v>188</v>
      </c>
      <c r="H52" s="24">
        <v>5</v>
      </c>
      <c r="I52" s="20">
        <v>4</v>
      </c>
      <c r="J52" s="21">
        <f t="shared" si="1"/>
        <v>1</v>
      </c>
      <c r="K52" s="22">
        <f t="shared" si="27"/>
        <v>43</v>
      </c>
      <c r="L52" s="23">
        <f t="shared" si="21"/>
        <v>178</v>
      </c>
      <c r="M52" s="24">
        <v>44</v>
      </c>
      <c r="N52" s="20">
        <v>44</v>
      </c>
      <c r="O52" s="21">
        <f t="shared" si="2"/>
        <v>0</v>
      </c>
      <c r="P52" s="22">
        <f t="shared" si="30"/>
        <v>18</v>
      </c>
      <c r="Q52" s="23">
        <f t="shared" si="3"/>
        <v>159</v>
      </c>
      <c r="R52" s="24">
        <v>43</v>
      </c>
      <c r="S52" s="20">
        <v>40</v>
      </c>
      <c r="T52" s="21">
        <f t="shared" si="4"/>
        <v>3</v>
      </c>
      <c r="U52" s="22">
        <f t="shared" si="33"/>
        <v>24</v>
      </c>
      <c r="V52" s="25">
        <f t="shared" si="5"/>
        <v>131</v>
      </c>
      <c r="W52" s="32">
        <v>35</v>
      </c>
      <c r="X52" s="20">
        <v>30</v>
      </c>
      <c r="Y52" s="21">
        <f t="shared" si="6"/>
        <v>5</v>
      </c>
      <c r="Z52" s="22">
        <f t="shared" si="22"/>
        <v>18</v>
      </c>
      <c r="AA52" s="23">
        <v>330</v>
      </c>
      <c r="AB52" s="24">
        <v>44</v>
      </c>
      <c r="AC52" s="20">
        <v>38</v>
      </c>
      <c r="AD52" s="21">
        <f t="shared" si="7"/>
        <v>6</v>
      </c>
      <c r="AE52" s="22">
        <f t="shared" si="28"/>
        <v>11</v>
      </c>
      <c r="AF52" s="23">
        <f t="shared" si="8"/>
        <v>313</v>
      </c>
      <c r="AG52" s="24">
        <v>22</v>
      </c>
      <c r="AH52" s="20">
        <v>21</v>
      </c>
      <c r="AI52" s="21">
        <f t="shared" si="9"/>
        <v>1</v>
      </c>
      <c r="AJ52" s="22">
        <f t="shared" si="31"/>
        <v>43</v>
      </c>
      <c r="AK52" s="23">
        <f t="shared" si="10"/>
        <v>280</v>
      </c>
      <c r="AL52" s="24">
        <v>10</v>
      </c>
      <c r="AM52" s="20">
        <v>0</v>
      </c>
      <c r="AN52" s="21">
        <f t="shared" si="11"/>
        <v>10</v>
      </c>
      <c r="AO52" s="22">
        <f t="shared" si="34"/>
        <v>42</v>
      </c>
      <c r="AP52" s="25">
        <f t="shared" si="12"/>
        <v>231</v>
      </c>
      <c r="AQ52" s="32">
        <v>29</v>
      </c>
      <c r="AR52" s="20">
        <v>29</v>
      </c>
      <c r="AS52" s="21">
        <f t="shared" si="13"/>
        <v>0</v>
      </c>
      <c r="AT52" s="22">
        <f t="shared" si="23"/>
        <v>39</v>
      </c>
      <c r="AU52" s="23">
        <v>339</v>
      </c>
      <c r="AV52" s="24">
        <v>30</v>
      </c>
      <c r="AW52" s="20">
        <v>30</v>
      </c>
      <c r="AX52" s="21">
        <f t="shared" si="14"/>
        <v>0</v>
      </c>
      <c r="AY52" s="22">
        <f t="shared" si="29"/>
        <v>18</v>
      </c>
      <c r="AZ52" s="23">
        <f t="shared" si="15"/>
        <v>322</v>
      </c>
      <c r="BA52" s="24">
        <v>27</v>
      </c>
      <c r="BB52" s="20">
        <v>22</v>
      </c>
      <c r="BC52" s="21">
        <f t="shared" si="16"/>
        <v>5</v>
      </c>
      <c r="BD52" s="22">
        <f t="shared" si="32"/>
        <v>30</v>
      </c>
      <c r="BE52" s="23">
        <f t="shared" si="17"/>
        <v>288</v>
      </c>
      <c r="BF52" s="24">
        <v>22</v>
      </c>
      <c r="BG52" s="20">
        <v>21</v>
      </c>
      <c r="BH52" s="21">
        <f t="shared" si="18"/>
        <v>1</v>
      </c>
      <c r="BI52" s="22">
        <f t="shared" si="35"/>
        <v>44</v>
      </c>
      <c r="BJ52" s="25">
        <f t="shared" si="19"/>
        <v>237</v>
      </c>
      <c r="BK52" s="4">
        <f t="shared" si="24"/>
        <v>180</v>
      </c>
      <c r="BL52" s="6">
        <f t="shared" si="25"/>
        <v>152</v>
      </c>
      <c r="BM52" s="8">
        <f t="shared" si="26"/>
        <v>381</v>
      </c>
    </row>
    <row r="53" spans="1:65" ht="15" thickBot="1">
      <c r="A53">
        <v>52</v>
      </c>
      <c r="B53" s="2">
        <v>45655</v>
      </c>
      <c r="C53" s="33">
        <v>48</v>
      </c>
      <c r="D53" s="26">
        <v>42</v>
      </c>
      <c r="E53" s="27">
        <f t="shared" si="0"/>
        <v>6</v>
      </c>
      <c r="F53" s="22">
        <f t="shared" si="20"/>
        <v>9</v>
      </c>
      <c r="G53" s="28">
        <v>279</v>
      </c>
      <c r="H53" s="29">
        <v>15</v>
      </c>
      <c r="I53" s="26">
        <v>11</v>
      </c>
      <c r="J53" s="27">
        <f t="shared" si="1"/>
        <v>4</v>
      </c>
      <c r="K53" s="22">
        <f t="shared" si="27"/>
        <v>32</v>
      </c>
      <c r="L53" s="28">
        <f t="shared" si="21"/>
        <v>265</v>
      </c>
      <c r="M53" s="29">
        <v>49</v>
      </c>
      <c r="N53" s="26">
        <v>41</v>
      </c>
      <c r="O53" s="27">
        <f t="shared" si="2"/>
        <v>8</v>
      </c>
      <c r="P53" s="22">
        <f t="shared" si="30"/>
        <v>12</v>
      </c>
      <c r="Q53" s="28">
        <f t="shared" si="3"/>
        <v>237</v>
      </c>
      <c r="R53" s="29">
        <v>7</v>
      </c>
      <c r="S53" s="26">
        <v>7</v>
      </c>
      <c r="T53" s="27">
        <f t="shared" si="4"/>
        <v>0</v>
      </c>
      <c r="U53" s="22">
        <f t="shared" si="33"/>
        <v>21</v>
      </c>
      <c r="V53" s="30">
        <f>_xlfn.FLOOR.MATH(G53*0.7)</f>
        <v>195</v>
      </c>
      <c r="W53" s="33">
        <v>15</v>
      </c>
      <c r="X53" s="26">
        <v>15</v>
      </c>
      <c r="Y53" s="27">
        <f t="shared" si="6"/>
        <v>0</v>
      </c>
      <c r="Z53" s="22">
        <f t="shared" si="22"/>
        <v>30</v>
      </c>
      <c r="AA53" s="28">
        <v>230</v>
      </c>
      <c r="AB53" s="29">
        <v>6</v>
      </c>
      <c r="AC53" s="26">
        <v>0</v>
      </c>
      <c r="AD53" s="27">
        <f t="shared" si="7"/>
        <v>6</v>
      </c>
      <c r="AE53" s="22">
        <f t="shared" si="28"/>
        <v>44</v>
      </c>
      <c r="AF53" s="28">
        <f t="shared" si="8"/>
        <v>218</v>
      </c>
      <c r="AG53" s="29">
        <v>31</v>
      </c>
      <c r="AH53" s="26">
        <v>30</v>
      </c>
      <c r="AI53" s="27">
        <f t="shared" si="9"/>
        <v>1</v>
      </c>
      <c r="AJ53" s="22">
        <f t="shared" si="31"/>
        <v>38</v>
      </c>
      <c r="AK53" s="28">
        <f t="shared" si="10"/>
        <v>195</v>
      </c>
      <c r="AL53" s="29">
        <v>31</v>
      </c>
      <c r="AM53" s="26">
        <v>18</v>
      </c>
      <c r="AN53" s="27">
        <f t="shared" si="11"/>
        <v>13</v>
      </c>
      <c r="AO53" s="22">
        <f t="shared" si="34"/>
        <v>40</v>
      </c>
      <c r="AP53" s="30">
        <f t="shared" si="12"/>
        <v>161</v>
      </c>
      <c r="AQ53" s="33">
        <v>5</v>
      </c>
      <c r="AR53" s="26">
        <v>4</v>
      </c>
      <c r="AS53" s="27">
        <f t="shared" si="13"/>
        <v>1</v>
      </c>
      <c r="AT53" s="22">
        <f t="shared" si="23"/>
        <v>29</v>
      </c>
      <c r="AU53" s="28">
        <v>286</v>
      </c>
      <c r="AV53" s="29">
        <v>22</v>
      </c>
      <c r="AW53" s="26">
        <v>12</v>
      </c>
      <c r="AX53" s="27">
        <f t="shared" si="14"/>
        <v>10</v>
      </c>
      <c r="AY53" s="22">
        <f t="shared" si="29"/>
        <v>12</v>
      </c>
      <c r="AZ53" s="28">
        <f t="shared" si="15"/>
        <v>271</v>
      </c>
      <c r="BA53" s="29">
        <v>16</v>
      </c>
      <c r="BB53" s="26">
        <v>14</v>
      </c>
      <c r="BC53" s="27">
        <f t="shared" si="16"/>
        <v>2</v>
      </c>
      <c r="BD53" s="22">
        <f t="shared" si="32"/>
        <v>0</v>
      </c>
      <c r="BE53" s="28">
        <f t="shared" si="17"/>
        <v>243</v>
      </c>
      <c r="BF53" s="29">
        <v>21</v>
      </c>
      <c r="BG53" s="26">
        <v>19</v>
      </c>
      <c r="BH53" s="27">
        <f t="shared" si="18"/>
        <v>2</v>
      </c>
      <c r="BI53" s="22">
        <f t="shared" si="35"/>
        <v>12</v>
      </c>
      <c r="BJ53" s="30">
        <f t="shared" si="19"/>
        <v>200</v>
      </c>
      <c r="BK53" s="4">
        <f t="shared" si="24"/>
        <v>157</v>
      </c>
      <c r="BL53" s="6">
        <f t="shared" si="25"/>
        <v>215</v>
      </c>
      <c r="BM53" s="8">
        <f t="shared" si="26"/>
        <v>332</v>
      </c>
    </row>
    <row r="54" spans="1:65">
      <c r="C54">
        <f>SUM(C2:C53)</f>
        <v>1397</v>
      </c>
      <c r="D54">
        <f>SUM(D2:D53)</f>
        <v>1186</v>
      </c>
      <c r="H54">
        <f>SUM(H2:H53)</f>
        <v>1273</v>
      </c>
      <c r="I54">
        <f>SUM(I2:I53)</f>
        <v>1074</v>
      </c>
      <c r="M54">
        <f>SUM(M2:M53)</f>
        <v>1485</v>
      </c>
      <c r="N54">
        <f>SUM(N2:N53)</f>
        <v>1253</v>
      </c>
      <c r="R54">
        <f>SUM(R2:R53)</f>
        <v>1453</v>
      </c>
      <c r="S54">
        <f>SUM(S2:S53)</f>
        <v>1325</v>
      </c>
      <c r="W54">
        <f>SUM(W2:W53)</f>
        <v>1350</v>
      </c>
      <c r="X54">
        <f>SUM(X2:X53)</f>
        <v>1159</v>
      </c>
      <c r="AB54">
        <f>SUM(AB2:AB53)</f>
        <v>1242</v>
      </c>
      <c r="AC54">
        <f>SUM(AC2:AC53)</f>
        <v>1036</v>
      </c>
      <c r="AG54">
        <f>SUM(AG2:AG53)</f>
        <v>1442</v>
      </c>
      <c r="AH54">
        <f>SUM(AH2:AH53)</f>
        <v>1230</v>
      </c>
      <c r="AL54">
        <f>SUM(AL2:AL53)</f>
        <v>1578</v>
      </c>
      <c r="AM54">
        <f>SUM(AM2:AM53)</f>
        <v>1408</v>
      </c>
      <c r="AQ54">
        <f>SUM(AQ2:AQ53)</f>
        <v>1553</v>
      </c>
      <c r="AR54">
        <f>SUM(AR2:AR53)</f>
        <v>1368</v>
      </c>
      <c r="AV54">
        <f>SUM(AV2:AV53)</f>
        <v>1420</v>
      </c>
      <c r="AW54">
        <f>SUM(AW2:AW53)</f>
        <v>1213</v>
      </c>
      <c r="BA54">
        <f>SUM(BA2:BA53)</f>
        <v>1324</v>
      </c>
      <c r="BB54">
        <f>SUM(BB2:BB53)</f>
        <v>1164</v>
      </c>
      <c r="BF54">
        <f>SUM(BF2:BF53)</f>
        <v>1476</v>
      </c>
      <c r="BG54">
        <f>SUM(BG2:BG53)</f>
        <v>1360</v>
      </c>
    </row>
    <row r="55" spans="1:65">
      <c r="B55" t="s">
        <v>72</v>
      </c>
      <c r="G55">
        <f>7*SUMPRODUCT(G2:G53,D2:D53)</f>
        <v>1916537</v>
      </c>
      <c r="L55">
        <f>4*7*SUMPRODUCT(L2:L53,I2:I53)</f>
        <v>6427988</v>
      </c>
      <c r="Q55">
        <f>8*7*SUMPRODUCT(Q2:Q53,N2:N53)</f>
        <v>13657560</v>
      </c>
      <c r="V55">
        <f>16*7*SUMPRODUCT(V2:V53,S2:S53)</f>
        <v>23271920</v>
      </c>
      <c r="AA55">
        <f>7*SUMPRODUCT(AA2:AA53,X2:X53)</f>
        <v>2358937</v>
      </c>
      <c r="AF55">
        <f>4*7*SUMPRODUCT(AF2:AF53,AC2:AC53)</f>
        <v>8612632</v>
      </c>
      <c r="AK55">
        <f>8*7*SUMPRODUCT(AK2:AK53,AH2:AH53)</f>
        <v>17668280</v>
      </c>
      <c r="AP55">
        <f>7*16*SUMPRODUCT(AP2:AP53,AM2:AM53)</f>
        <v>33145840</v>
      </c>
      <c r="AU55">
        <f>7*SUMPRODUCT(AU2:AU53,AR2:AR53)</f>
        <v>2522184</v>
      </c>
      <c r="AZ55">
        <f>4*7*SUMPRODUCT(AZ2:AZ53,AW2:AW53)</f>
        <v>8475264</v>
      </c>
      <c r="BE55">
        <f>8*7*SUMPRODUCT(BE2:BE53,BB2:BB53)</f>
        <v>14450968</v>
      </c>
      <c r="BJ55">
        <f>7*16*SUMPRODUCT(BJ2:BJ53,BG2:BG53)</f>
        <v>27965504</v>
      </c>
      <c r="BM55" s="8">
        <f>SUM(C55:BJ55)</f>
        <v>160473614</v>
      </c>
    </row>
    <row r="56" spans="1:65">
      <c r="B56" t="s">
        <v>73</v>
      </c>
      <c r="V56">
        <f>SUM(E55:V55)</f>
        <v>45274005</v>
      </c>
      <c r="AP56">
        <f>SUM(Y55:AP55)</f>
        <v>61785689</v>
      </c>
      <c r="BJ56">
        <f>SUM(AS55:BJ55)</f>
        <v>53413920</v>
      </c>
    </row>
  </sheetData>
  <phoneticPr fontId="3" type="noConversion"/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35CFF-D9C5-4F5B-AAF3-985280615526}">
  <dimension ref="A1"/>
  <sheetViews>
    <sheetView topLeftCell="A42" zoomScaleNormal="100" workbookViewId="0">
      <selection activeCell="I39" sqref="I39"/>
    </sheetView>
  </sheetViews>
  <sheetFormatPr defaultRowHeight="14.5"/>
  <sheetData/>
  <phoneticPr fontId="3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0EAD9-C37D-4470-AA9D-0FC3215E45D0}">
  <dimension ref="A1:C55"/>
  <sheetViews>
    <sheetView tabSelected="1" workbookViewId="0">
      <selection activeCell="C50" sqref="C50"/>
    </sheetView>
  </sheetViews>
  <sheetFormatPr defaultRowHeight="14.5"/>
  <cols>
    <col min="1" max="1" width="41.90625" bestFit="1" customWidth="1"/>
    <col min="2" max="2" width="28.26953125" style="36" bestFit="1" customWidth="1"/>
    <col min="3" max="3" width="14.36328125" style="36" bestFit="1" customWidth="1"/>
  </cols>
  <sheetData>
    <row r="1" spans="1:3">
      <c r="A1" s="38" t="s">
        <v>74</v>
      </c>
      <c r="B1" s="36" t="s">
        <v>75</v>
      </c>
      <c r="C1" s="36" t="s">
        <v>76</v>
      </c>
    </row>
    <row r="2" spans="1:3">
      <c r="A2" s="38"/>
      <c r="B2" s="36" t="s">
        <v>77</v>
      </c>
      <c r="C2" s="36" t="s">
        <v>78</v>
      </c>
    </row>
    <row r="3" spans="1:3">
      <c r="A3" s="38"/>
      <c r="B3" s="36" t="s">
        <v>79</v>
      </c>
      <c r="C3" s="36" t="s">
        <v>80</v>
      </c>
    </row>
    <row r="4" spans="1:3">
      <c r="A4" s="35"/>
    </row>
    <row r="5" spans="1:3">
      <c r="A5" s="38" t="s">
        <v>81</v>
      </c>
      <c r="B5" s="36" t="s">
        <v>75</v>
      </c>
      <c r="C5" s="36" t="s">
        <v>82</v>
      </c>
    </row>
    <row r="6" spans="1:3">
      <c r="A6" s="38"/>
      <c r="B6" s="36" t="s">
        <v>77</v>
      </c>
      <c r="C6" s="36" t="s">
        <v>83</v>
      </c>
    </row>
    <row r="7" spans="1:3">
      <c r="A7" s="38"/>
      <c r="B7" s="36" t="s">
        <v>79</v>
      </c>
      <c r="C7" s="36" t="s">
        <v>84</v>
      </c>
    </row>
    <row r="8" spans="1:3">
      <c r="A8" s="35"/>
    </row>
    <row r="9" spans="1:3">
      <c r="A9" s="38" t="s">
        <v>85</v>
      </c>
      <c r="B9" s="36" t="s">
        <v>75</v>
      </c>
      <c r="C9" s="36" t="s">
        <v>86</v>
      </c>
    </row>
    <row r="10" spans="1:3">
      <c r="A10" s="38"/>
      <c r="B10" s="36" t="s">
        <v>77</v>
      </c>
      <c r="C10" s="36" t="s">
        <v>87</v>
      </c>
    </row>
    <row r="11" spans="1:3">
      <c r="A11" s="38"/>
      <c r="B11" s="36" t="s">
        <v>79</v>
      </c>
      <c r="C11" s="36" t="s">
        <v>88</v>
      </c>
    </row>
    <row r="12" spans="1:3">
      <c r="A12" s="35"/>
    </row>
    <row r="13" spans="1:3">
      <c r="A13" s="38" t="s">
        <v>89</v>
      </c>
      <c r="B13" s="36" t="s">
        <v>75</v>
      </c>
      <c r="C13" s="36" t="s">
        <v>90</v>
      </c>
    </row>
    <row r="14" spans="1:3">
      <c r="A14" s="38"/>
      <c r="B14" s="36" t="s">
        <v>77</v>
      </c>
      <c r="C14" s="36" t="s">
        <v>91</v>
      </c>
    </row>
    <row r="15" spans="1:3">
      <c r="A15" s="38"/>
      <c r="B15" s="36" t="s">
        <v>79</v>
      </c>
      <c r="C15" s="36" t="s">
        <v>92</v>
      </c>
    </row>
    <row r="16" spans="1:3">
      <c r="A16" s="35"/>
    </row>
    <row r="17" spans="1:3">
      <c r="A17" s="38" t="s">
        <v>93</v>
      </c>
      <c r="B17" s="36" t="s">
        <v>75</v>
      </c>
      <c r="C17" s="36" t="s">
        <v>94</v>
      </c>
    </row>
    <row r="18" spans="1:3">
      <c r="A18" s="38"/>
      <c r="B18" s="36" t="s">
        <v>77</v>
      </c>
      <c r="C18" s="36" t="s">
        <v>95</v>
      </c>
    </row>
    <row r="19" spans="1:3">
      <c r="A19" s="38"/>
      <c r="B19" s="36" t="s">
        <v>79</v>
      </c>
      <c r="C19" s="36" t="s">
        <v>96</v>
      </c>
    </row>
    <row r="20" spans="1:3">
      <c r="A20" s="35"/>
    </row>
    <row r="21" spans="1:3">
      <c r="A21" s="38" t="s">
        <v>97</v>
      </c>
      <c r="B21" s="36" t="s">
        <v>75</v>
      </c>
      <c r="C21" s="36" t="s">
        <v>98</v>
      </c>
    </row>
    <row r="22" spans="1:3">
      <c r="A22" s="38"/>
      <c r="B22" s="36" t="s">
        <v>77</v>
      </c>
      <c r="C22" s="36" t="s">
        <v>99</v>
      </c>
    </row>
    <row r="23" spans="1:3">
      <c r="A23" s="38"/>
      <c r="B23" s="36" t="s">
        <v>79</v>
      </c>
      <c r="C23" s="36" t="s">
        <v>100</v>
      </c>
    </row>
    <row r="24" spans="1:3">
      <c r="A24" s="35"/>
    </row>
    <row r="25" spans="1:3">
      <c r="A25" s="38" t="s">
        <v>101</v>
      </c>
      <c r="B25" s="36" t="s">
        <v>75</v>
      </c>
      <c r="C25" s="36" t="s">
        <v>102</v>
      </c>
    </row>
    <row r="26" spans="1:3">
      <c r="A26" s="38"/>
      <c r="B26" s="36" t="s">
        <v>77</v>
      </c>
      <c r="C26" s="36" t="s">
        <v>103</v>
      </c>
    </row>
    <row r="27" spans="1:3">
      <c r="A27" s="38"/>
      <c r="B27" s="36" t="s">
        <v>79</v>
      </c>
      <c r="C27" s="36" t="s">
        <v>104</v>
      </c>
    </row>
    <row r="28" spans="1:3">
      <c r="A28" s="35"/>
    </row>
    <row r="29" spans="1:3">
      <c r="A29" s="38" t="s">
        <v>105</v>
      </c>
      <c r="B29" s="36" t="s">
        <v>75</v>
      </c>
      <c r="C29" s="36" t="s">
        <v>106</v>
      </c>
    </row>
    <row r="30" spans="1:3">
      <c r="A30" s="38"/>
      <c r="B30" s="36" t="s">
        <v>77</v>
      </c>
      <c r="C30" s="36" t="s">
        <v>107</v>
      </c>
    </row>
    <row r="31" spans="1:3">
      <c r="A31" s="38"/>
      <c r="B31" s="36" t="s">
        <v>79</v>
      </c>
      <c r="C31" s="36" t="s">
        <v>108</v>
      </c>
    </row>
    <row r="32" spans="1:3">
      <c r="A32" s="35"/>
    </row>
    <row r="33" spans="1:3">
      <c r="A33" s="38" t="s">
        <v>109</v>
      </c>
      <c r="B33" s="36" t="s">
        <v>75</v>
      </c>
      <c r="C33" s="36" t="s">
        <v>110</v>
      </c>
    </row>
    <row r="34" spans="1:3">
      <c r="A34" s="38"/>
      <c r="B34" s="36" t="s">
        <v>77</v>
      </c>
      <c r="C34" s="36" t="s">
        <v>111</v>
      </c>
    </row>
    <row r="35" spans="1:3">
      <c r="A35" s="38"/>
      <c r="B35" s="36" t="s">
        <v>79</v>
      </c>
      <c r="C35" s="36" t="s">
        <v>112</v>
      </c>
    </row>
    <row r="36" spans="1:3">
      <c r="A36" s="35"/>
    </row>
    <row r="37" spans="1:3">
      <c r="A37" s="38" t="s">
        <v>113</v>
      </c>
      <c r="B37" s="36" t="s">
        <v>75</v>
      </c>
      <c r="C37" s="36" t="s">
        <v>114</v>
      </c>
    </row>
    <row r="38" spans="1:3">
      <c r="A38" s="38"/>
      <c r="B38" s="36" t="s">
        <v>77</v>
      </c>
      <c r="C38" s="36" t="s">
        <v>115</v>
      </c>
    </row>
    <row r="39" spans="1:3">
      <c r="A39" s="38"/>
      <c r="B39" s="36" t="s">
        <v>79</v>
      </c>
      <c r="C39" s="36" t="s">
        <v>116</v>
      </c>
    </row>
    <row r="40" spans="1:3">
      <c r="A40" s="35"/>
    </row>
    <row r="41" spans="1:3">
      <c r="A41" s="38" t="s">
        <v>117</v>
      </c>
      <c r="B41" s="36" t="s">
        <v>75</v>
      </c>
      <c r="C41" s="36" t="s">
        <v>118</v>
      </c>
    </row>
    <row r="42" spans="1:3">
      <c r="A42" s="38"/>
      <c r="B42" s="36" t="s">
        <v>77</v>
      </c>
      <c r="C42" s="36" t="s">
        <v>119</v>
      </c>
    </row>
    <row r="43" spans="1:3">
      <c r="A43" s="38"/>
      <c r="B43" s="36" t="s">
        <v>79</v>
      </c>
      <c r="C43" s="36" t="s">
        <v>120</v>
      </c>
    </row>
    <row r="44" spans="1:3">
      <c r="A44" s="35"/>
    </row>
    <row r="45" spans="1:3">
      <c r="A45" s="38" t="s">
        <v>121</v>
      </c>
      <c r="B45" s="36" t="s">
        <v>75</v>
      </c>
      <c r="C45" s="36" t="s">
        <v>122</v>
      </c>
    </row>
    <row r="46" spans="1:3">
      <c r="A46" s="38"/>
      <c r="B46" s="36" t="s">
        <v>77</v>
      </c>
      <c r="C46" s="36" t="s">
        <v>123</v>
      </c>
    </row>
    <row r="47" spans="1:3">
      <c r="A47" s="38"/>
      <c r="B47" s="36" t="s">
        <v>79</v>
      </c>
      <c r="C47" s="36" t="s">
        <v>124</v>
      </c>
    </row>
    <row r="49" spans="1:2">
      <c r="A49" s="37" t="s">
        <v>125</v>
      </c>
      <c r="B49" s="36" t="s">
        <v>136</v>
      </c>
    </row>
    <row r="50" spans="1:2">
      <c r="A50" s="37" t="s">
        <v>126</v>
      </c>
      <c r="B50" s="36" t="s">
        <v>137</v>
      </c>
    </row>
    <row r="51" spans="1:2">
      <c r="A51" s="37" t="s">
        <v>127</v>
      </c>
      <c r="B51" s="36" t="s">
        <v>138</v>
      </c>
    </row>
    <row r="52" spans="1:2">
      <c r="A52" s="37" t="s">
        <v>128</v>
      </c>
      <c r="B52" s="36" t="s">
        <v>129</v>
      </c>
    </row>
    <row r="53" spans="1:2">
      <c r="A53" s="37" t="s">
        <v>130</v>
      </c>
      <c r="B53" s="36" t="s">
        <v>131</v>
      </c>
    </row>
    <row r="54" spans="1:2">
      <c r="A54" s="37" t="s">
        <v>132</v>
      </c>
      <c r="B54" s="36" t="s">
        <v>133</v>
      </c>
    </row>
    <row r="55" spans="1:2">
      <c r="A55" s="37" t="s">
        <v>134</v>
      </c>
      <c r="B55" s="36" t="s">
        <v>135</v>
      </c>
    </row>
  </sheetData>
  <mergeCells count="12">
    <mergeCell ref="A1:A3"/>
    <mergeCell ref="A45:A47"/>
    <mergeCell ref="A41:A43"/>
    <mergeCell ref="A37:A39"/>
    <mergeCell ref="A33:A35"/>
    <mergeCell ref="A29:A31"/>
    <mergeCell ref="A25:A27"/>
    <mergeCell ref="A21:A23"/>
    <mergeCell ref="A17:A19"/>
    <mergeCell ref="A13:A15"/>
    <mergeCell ref="A9:A11"/>
    <mergeCell ref="A5:A7"/>
  </mergeCells>
  <phoneticPr fontId="5" type="noConversion"/>
  <pageMargins left="0.7" right="0.7" top="0.75" bottom="0.75" header="0.3" footer="0.3"/>
  <ignoredErrors>
    <ignoredError sqref="B52:B55 C1:C47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979752267ED843B30788B7A80502E7" ma:contentTypeVersion="4" ma:contentTypeDescription="Create a new document." ma:contentTypeScope="" ma:versionID="165e09d89033e95d969665a4c86d7278">
  <xsd:schema xmlns:xsd="http://www.w3.org/2001/XMLSchema" xmlns:xs="http://www.w3.org/2001/XMLSchema" xmlns:p="http://schemas.microsoft.com/office/2006/metadata/properties" xmlns:ns2="a0af0950-470a-4557-a506-541f953109e6" targetNamespace="http://schemas.microsoft.com/office/2006/metadata/properties" ma:root="true" ma:fieldsID="a87e529aae5ba38a83bb258245543f81" ns2:_="">
    <xsd:import namespace="a0af0950-470a-4557-a506-541f953109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af0950-470a-4557-a506-541f953109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3F29A06-5C86-4452-B85C-AE8F9C28A8F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0af0950-470a-4557-a506-541f953109e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3AFE69F-298A-4901-9629-1C528FBB70DA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DD2E79E1-93B4-4834-879D-ED1B1BCF65D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BuildMax_Rentals_Dataset</vt:lpstr>
      <vt:lpstr>Code</vt:lpstr>
      <vt:lpstr>Results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Rittika</cp:lastModifiedBy>
  <cp:revision/>
  <dcterms:created xsi:type="dcterms:W3CDTF">2025-02-11T09:31:37Z</dcterms:created>
  <dcterms:modified xsi:type="dcterms:W3CDTF">2025-03-10T11:11:41Z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0x01010099979752267ED843B30788B7A80502E7</vt:lpwstr>
  </property>
</Properties>
</file>